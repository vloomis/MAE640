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Veronica\OneDrive\Documents\MAE640\Homeworks\02HW\"/>
    </mc:Choice>
  </mc:AlternateContent>
  <xr:revisionPtr revIDLastSave="0" documentId="13_ncr:1_{79E845E2-AA79-415D-BECE-133461735350}" xr6:coauthVersionLast="47" xr6:coauthVersionMax="47" xr10:uidLastSave="{00000000-0000-0000-0000-000000000000}"/>
  <bookViews>
    <workbookView xWindow="-120" yWindow="-120" windowWidth="29040" windowHeight="15990" activeTab="1" xr2:uid="{00000000-000D-0000-FFFF-FFFF00000000}"/>
  </bookViews>
  <sheets>
    <sheet name="Setup" sheetId="2" r:id="rId1"/>
    <sheet name="CF_Plot" sheetId="1" r:id="rId2"/>
  </sheets>
  <functionGroups builtInGroupCount="19"/>
  <definedNames>
    <definedName name="Bob_58">CF_Plot!$I$5</definedName>
    <definedName name="gamma_c">CF_Plot!$F$5</definedName>
    <definedName name="M_G">CF_Plot!$C$5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1" l="1"/>
  <c r="O11" i="1"/>
  <c r="O12" i="1"/>
  <c r="O13" i="1"/>
  <c r="O14" i="1"/>
  <c r="O15" i="1"/>
  <c r="O16" i="1"/>
  <c r="O17" i="1"/>
  <c r="O18" i="1"/>
  <c r="O19" i="1"/>
  <c r="O20" i="1"/>
  <c r="O21" i="1"/>
  <c r="O22" i="1"/>
  <c r="O23" i="1"/>
  <c r="O24" i="1"/>
  <c r="O25" i="1"/>
  <c r="O26" i="1"/>
  <c r="O27" i="1"/>
  <c r="O28" i="1"/>
  <c r="O29" i="1"/>
  <c r="O30" i="1"/>
  <c r="O31" i="1"/>
  <c r="O32" i="1"/>
  <c r="O33" i="1"/>
  <c r="O34" i="1"/>
  <c r="O35" i="1"/>
  <c r="O36" i="1"/>
  <c r="O37" i="1"/>
  <c r="O9" i="1"/>
  <c r="E9" i="1"/>
  <c r="I4" i="1" l="1"/>
  <c r="D10" i="1" l="1"/>
  <c r="D11" i="1"/>
  <c r="D12" i="1"/>
  <c r="D13" i="1"/>
  <c r="D14" i="1"/>
  <c r="D15" i="1"/>
  <c r="D16" i="1"/>
  <c r="D17" i="1"/>
  <c r="D18" i="1"/>
  <c r="D19" i="1"/>
  <c r="D20" i="1"/>
  <c r="D21" i="1"/>
  <c r="D22" i="1"/>
  <c r="D23" i="1"/>
  <c r="D24" i="1"/>
  <c r="D25" i="1"/>
  <c r="D26" i="1"/>
  <c r="D27" i="1"/>
  <c r="D28" i="1"/>
  <c r="D29" i="1"/>
  <c r="D30" i="1"/>
  <c r="D31" i="1"/>
  <c r="D32" i="1"/>
  <c r="D33" i="1"/>
  <c r="D34" i="1"/>
  <c r="D35" i="1"/>
  <c r="D36" i="1"/>
  <c r="D37" i="1"/>
  <c r="D9" i="1"/>
  <c r="C20" i="1"/>
  <c r="I34" i="1"/>
  <c r="C17" i="1"/>
  <c r="C32" i="1"/>
  <c r="G15" i="1"/>
  <c r="F18" i="1"/>
  <c r="M10" i="1"/>
  <c r="L32" i="1"/>
  <c r="J19" i="1"/>
  <c r="H33" i="1"/>
  <c r="I27" i="1"/>
  <c r="K29" i="1"/>
  <c r="F25" i="1"/>
  <c r="M27" i="1"/>
  <c r="N30" i="1"/>
  <c r="J34" i="1"/>
  <c r="G25" i="1"/>
  <c r="N27" i="1"/>
  <c r="C15" i="1"/>
  <c r="E17" i="1"/>
  <c r="N18" i="1"/>
  <c r="K26" i="1"/>
  <c r="K22" i="1"/>
  <c r="E10" i="1"/>
  <c r="C26" i="1"/>
  <c r="B11" i="1"/>
  <c r="N19" i="1"/>
  <c r="I24" i="1"/>
  <c r="K10" i="1"/>
  <c r="I22" i="1"/>
  <c r="B19" i="1"/>
  <c r="F9" i="1"/>
  <c r="H13" i="1"/>
  <c r="I32" i="1"/>
  <c r="G34" i="1"/>
  <c r="J35" i="1"/>
  <c r="E14" i="1"/>
  <c r="L17" i="1"/>
  <c r="N33" i="1"/>
  <c r="E33" i="1"/>
  <c r="N9" i="1"/>
  <c r="F36" i="1"/>
  <c r="N35" i="1"/>
  <c r="B26" i="1"/>
  <c r="J18" i="1"/>
  <c r="B28" i="1"/>
  <c r="J27" i="1"/>
  <c r="B17" i="1"/>
  <c r="G31" i="1"/>
  <c r="I37" i="1"/>
  <c r="K19" i="1"/>
  <c r="J24" i="1"/>
  <c r="C14" i="1"/>
  <c r="N10" i="1"/>
  <c r="I31" i="1"/>
  <c r="G30" i="1"/>
  <c r="K18" i="1"/>
  <c r="F21" i="1"/>
  <c r="F27" i="1"/>
  <c r="B30" i="1"/>
  <c r="K23" i="1"/>
  <c r="N34" i="1"/>
  <c r="N23" i="1"/>
  <c r="E37" i="1"/>
  <c r="L12" i="1"/>
  <c r="B22" i="1"/>
  <c r="G9" i="1"/>
  <c r="F20" i="1"/>
  <c r="N17" i="1"/>
  <c r="G20" i="1"/>
  <c r="G33" i="1"/>
  <c r="L14" i="1"/>
  <c r="H22" i="1"/>
  <c r="H36" i="1"/>
  <c r="I20" i="1"/>
  <c r="C31" i="1"/>
  <c r="F30" i="1"/>
  <c r="J25" i="1"/>
  <c r="L23" i="1"/>
  <c r="H30" i="1"/>
  <c r="L33" i="1"/>
  <c r="G26" i="1"/>
  <c r="N26" i="1"/>
  <c r="L36" i="1"/>
  <c r="E32" i="1"/>
  <c r="E19" i="1"/>
  <c r="F26" i="1"/>
  <c r="K31" i="1"/>
  <c r="J31" i="1"/>
  <c r="M29" i="1"/>
  <c r="N15" i="1"/>
  <c r="L20" i="1"/>
  <c r="I15" i="1"/>
  <c r="I33" i="1"/>
  <c r="J12" i="1"/>
  <c r="G21" i="1"/>
  <c r="F13" i="1"/>
  <c r="E24" i="1"/>
  <c r="K34" i="1"/>
  <c r="F14" i="1"/>
  <c r="M22" i="1"/>
  <c r="H24" i="1"/>
  <c r="N16" i="1"/>
  <c r="B10" i="1"/>
  <c r="B20" i="1"/>
  <c r="C34" i="1"/>
  <c r="L18" i="1"/>
  <c r="K9" i="1"/>
  <c r="I23" i="1"/>
  <c r="G23" i="1"/>
  <c r="K12" i="1"/>
  <c r="H34" i="1"/>
  <c r="C21" i="1"/>
  <c r="H16" i="1"/>
  <c r="B32" i="1"/>
  <c r="C30" i="1"/>
  <c r="E25" i="1"/>
  <c r="M31" i="1"/>
  <c r="K30" i="1"/>
  <c r="K13" i="1"/>
  <c r="M26" i="1"/>
  <c r="B31" i="1"/>
  <c r="I11" i="1"/>
  <c r="E35" i="1"/>
  <c r="J17" i="1"/>
  <c r="H11" i="1"/>
  <c r="I30" i="1"/>
  <c r="C18" i="1"/>
  <c r="J13" i="1"/>
  <c r="N37" i="1"/>
  <c r="N11" i="1"/>
  <c r="C19" i="1"/>
  <c r="N32" i="1"/>
  <c r="C13" i="1"/>
  <c r="J36" i="1"/>
  <c r="F11" i="1"/>
  <c r="H18" i="1"/>
  <c r="K21" i="1"/>
  <c r="I14" i="1"/>
  <c r="H26" i="1"/>
  <c r="H35" i="1"/>
  <c r="H19" i="1"/>
  <c r="L21" i="1"/>
  <c r="F15" i="1"/>
  <c r="B24" i="1"/>
  <c r="H31" i="1"/>
  <c r="H21" i="1"/>
  <c r="K17" i="1"/>
  <c r="F10" i="1"/>
  <c r="B37" i="1"/>
  <c r="L25" i="1"/>
  <c r="L19" i="1"/>
  <c r="M25" i="1"/>
  <c r="J30" i="1"/>
  <c r="K25" i="1"/>
  <c r="M23" i="1"/>
  <c r="E29" i="1"/>
  <c r="M28" i="1"/>
  <c r="N12" i="1"/>
  <c r="F22" i="1"/>
  <c r="B25" i="1"/>
  <c r="J21" i="1"/>
  <c r="M24" i="1"/>
  <c r="H10" i="1"/>
  <c r="N13" i="1"/>
  <c r="G28" i="1"/>
  <c r="B16" i="1"/>
  <c r="C36" i="1"/>
  <c r="E16" i="1"/>
  <c r="B34" i="1"/>
  <c r="G18" i="1"/>
  <c r="K27" i="1"/>
  <c r="J33" i="1"/>
  <c r="E12" i="1"/>
  <c r="F34" i="1"/>
  <c r="C28" i="1"/>
  <c r="F33" i="1"/>
  <c r="I36" i="1"/>
  <c r="K37" i="1"/>
  <c r="F16" i="1"/>
  <c r="H37" i="1"/>
  <c r="G29" i="1"/>
  <c r="K20" i="1"/>
  <c r="G12" i="1"/>
  <c r="E11" i="1"/>
  <c r="I35" i="1"/>
  <c r="E23" i="1"/>
  <c r="E34" i="1"/>
  <c r="N24" i="1"/>
  <c r="H27" i="1"/>
  <c r="F24" i="1"/>
  <c r="G32" i="1"/>
  <c r="M9" i="1"/>
  <c r="K32" i="1"/>
  <c r="M32" i="1"/>
  <c r="G11" i="1"/>
  <c r="N21" i="1"/>
  <c r="I19" i="1"/>
  <c r="C9" i="1"/>
  <c r="L16" i="1"/>
  <c r="M34" i="1"/>
  <c r="I18" i="1"/>
  <c r="K16" i="1"/>
  <c r="I28" i="1"/>
  <c r="I17" i="1"/>
  <c r="N14" i="1"/>
  <c r="M16" i="1"/>
  <c r="L34" i="1"/>
  <c r="M13" i="1"/>
  <c r="B23" i="1"/>
  <c r="H29" i="1"/>
  <c r="L37" i="1"/>
  <c r="M37" i="1"/>
  <c r="I29" i="1"/>
  <c r="H28" i="1"/>
  <c r="L30" i="1"/>
  <c r="L27" i="1"/>
  <c r="J15" i="1"/>
  <c r="M33" i="1"/>
  <c r="B21" i="1"/>
  <c r="I25" i="1"/>
  <c r="M36" i="1"/>
  <c r="G37" i="1"/>
  <c r="C11" i="1"/>
  <c r="K11" i="1"/>
  <c r="H15" i="1"/>
  <c r="M18" i="1"/>
  <c r="C23" i="1"/>
  <c r="H9" i="1"/>
  <c r="J10" i="1"/>
  <c r="F23" i="1"/>
  <c r="M15" i="1"/>
  <c r="H17" i="1"/>
  <c r="N25" i="1"/>
  <c r="N28" i="1"/>
  <c r="B14" i="1"/>
  <c r="C24" i="1"/>
  <c r="L11" i="1"/>
  <c r="C12" i="1"/>
  <c r="I16" i="1"/>
  <c r="H23" i="1"/>
  <c r="K14" i="1"/>
  <c r="F17" i="1"/>
  <c r="G13" i="1"/>
  <c r="N29" i="1"/>
  <c r="M19" i="1"/>
  <c r="H12" i="1"/>
  <c r="F35" i="1"/>
  <c r="B27" i="1"/>
  <c r="J16" i="1"/>
  <c r="E13" i="1"/>
  <c r="C27" i="1"/>
  <c r="C33" i="1"/>
  <c r="K15" i="1"/>
  <c r="I26" i="1"/>
  <c r="J14" i="1"/>
  <c r="L22" i="1"/>
  <c r="B29" i="1"/>
  <c r="K28" i="1"/>
  <c r="C16" i="1"/>
  <c r="F32" i="1"/>
  <c r="L9" i="1"/>
  <c r="E20" i="1"/>
  <c r="L28" i="1"/>
  <c r="J28" i="1"/>
  <c r="E22" i="1"/>
  <c r="L31" i="1"/>
  <c r="M11" i="1"/>
  <c r="I13" i="1"/>
  <c r="B13" i="1"/>
  <c r="K33" i="1"/>
  <c r="M21" i="1"/>
  <c r="C37" i="1"/>
  <c r="F28" i="1"/>
  <c r="J26" i="1"/>
  <c r="E28" i="1"/>
  <c r="L13" i="1"/>
  <c r="J22" i="1"/>
  <c r="B15" i="1"/>
  <c r="E30" i="1"/>
  <c r="L10" i="1"/>
  <c r="B36" i="1"/>
  <c r="G22" i="1"/>
  <c r="M12" i="1"/>
  <c r="G24" i="1"/>
  <c r="N20" i="1"/>
  <c r="M20" i="1"/>
  <c r="J9" i="1"/>
  <c r="E26" i="1"/>
  <c r="M30" i="1"/>
  <c r="H32" i="1"/>
  <c r="K35" i="1"/>
  <c r="G14" i="1"/>
  <c r="E21" i="1"/>
  <c r="F37" i="1"/>
  <c r="N31" i="1"/>
  <c r="J23" i="1"/>
  <c r="E15" i="1"/>
  <c r="G27" i="1"/>
  <c r="G35" i="1"/>
  <c r="F19" i="1"/>
  <c r="E31" i="1"/>
  <c r="B18" i="1"/>
  <c r="I21" i="1"/>
  <c r="J11" i="1"/>
  <c r="L35" i="1"/>
  <c r="G19" i="1"/>
  <c r="L29" i="1"/>
  <c r="C29" i="1"/>
  <c r="F29" i="1"/>
  <c r="G16" i="1"/>
  <c r="J32" i="1"/>
  <c r="M17" i="1"/>
  <c r="E27" i="1"/>
  <c r="L24" i="1"/>
  <c r="I10" i="1"/>
  <c r="N36" i="1"/>
  <c r="B33" i="1"/>
  <c r="G17" i="1"/>
  <c r="B35" i="1"/>
  <c r="K36" i="1"/>
  <c r="J37" i="1"/>
  <c r="E18" i="1"/>
  <c r="J20" i="1"/>
  <c r="H14" i="1"/>
  <c r="C25" i="1"/>
  <c r="G36" i="1"/>
  <c r="E36" i="1"/>
  <c r="G10" i="1"/>
  <c r="L15" i="1"/>
  <c r="F12" i="1"/>
  <c r="C22" i="1"/>
  <c r="I12" i="1"/>
  <c r="K24" i="1"/>
  <c r="C35" i="1"/>
  <c r="I9" i="1"/>
  <c r="F31" i="1"/>
  <c r="J29" i="1"/>
  <c r="N22" i="1"/>
  <c r="B12" i="1"/>
  <c r="H20" i="1"/>
  <c r="L26" i="1"/>
  <c r="M14" i="1"/>
  <c r="H25" i="1"/>
  <c r="M35" i="1"/>
  <c r="C10" i="1"/>
  <c r="B9" i="1"/>
  <c r="T12" i="1" l="1"/>
  <c r="Q12" i="1"/>
  <c r="T35" i="1"/>
  <c r="Q35" i="1"/>
  <c r="T33" i="1"/>
  <c r="Q33" i="1"/>
  <c r="T18" i="1"/>
  <c r="Q18" i="1"/>
  <c r="T36" i="1"/>
  <c r="Q36" i="1"/>
  <c r="T15" i="1"/>
  <c r="Q15" i="1"/>
  <c r="Q13" i="1"/>
  <c r="T13" i="1"/>
  <c r="T29" i="1"/>
  <c r="Q29" i="1"/>
  <c r="T27" i="1"/>
  <c r="Q27" i="1"/>
  <c r="U27" i="1" s="1"/>
  <c r="T14" i="1"/>
  <c r="Q14" i="1"/>
  <c r="T21" i="1"/>
  <c r="Q21" i="1"/>
  <c r="U21" i="1" s="1"/>
  <c r="T23" i="1"/>
  <c r="Q23" i="1"/>
  <c r="T34" i="1"/>
  <c r="Q34" i="1"/>
  <c r="U34" i="1" s="1"/>
  <c r="T16" i="1"/>
  <c r="Q16" i="1"/>
  <c r="U16" i="1" s="1"/>
  <c r="T25" i="1"/>
  <c r="Q25" i="1"/>
  <c r="T37" i="1"/>
  <c r="Q37" i="1"/>
  <c r="T24" i="1"/>
  <c r="Q24" i="1"/>
  <c r="U24" i="1" s="1"/>
  <c r="T31" i="1"/>
  <c r="Q31" i="1"/>
  <c r="U31" i="1" s="1"/>
  <c r="T32" i="1"/>
  <c r="Q32" i="1"/>
  <c r="T20" i="1"/>
  <c r="Q20" i="1"/>
  <c r="T10" i="1"/>
  <c r="Q10" i="1"/>
  <c r="U10" i="1" s="1"/>
  <c r="T22" i="1"/>
  <c r="Q22" i="1"/>
  <c r="U22" i="1" s="1"/>
  <c r="T30" i="1"/>
  <c r="Q30" i="1"/>
  <c r="T17" i="1"/>
  <c r="Q17" i="1"/>
  <c r="U17" i="1" s="1"/>
  <c r="T28" i="1"/>
  <c r="Q28" i="1"/>
  <c r="U28" i="1" s="1"/>
  <c r="T26" i="1"/>
  <c r="Q26" i="1"/>
  <c r="T19" i="1"/>
  <c r="Q19" i="1"/>
  <c r="U19" i="1" s="1"/>
  <c r="Q11" i="1"/>
  <c r="U11" i="1" s="1"/>
  <c r="T11" i="1"/>
  <c r="T9" i="1"/>
  <c r="U20" i="1"/>
  <c r="U14" i="1"/>
  <c r="U37" i="1"/>
  <c r="U15" i="1"/>
  <c r="U33" i="1"/>
  <c r="U23" i="1"/>
  <c r="U36" i="1"/>
  <c r="U26" i="1"/>
  <c r="U30" i="1"/>
  <c r="U12" i="1"/>
  <c r="U29" i="1"/>
  <c r="U32" i="1"/>
  <c r="U18" i="1"/>
  <c r="U35" i="1"/>
  <c r="U25" i="1"/>
  <c r="R20" i="1"/>
  <c r="R37" i="1"/>
  <c r="R23" i="1"/>
  <c r="R36" i="1"/>
  <c r="R32" i="1"/>
  <c r="R26" i="1"/>
  <c r="R30" i="1"/>
  <c r="R12" i="1"/>
  <c r="R18" i="1"/>
  <c r="R35" i="1"/>
  <c r="R25" i="1"/>
  <c r="R21" i="1"/>
  <c r="R24" i="1"/>
  <c r="R22" i="1"/>
  <c r="R33" i="1"/>
  <c r="R14" i="1"/>
  <c r="R15" i="1"/>
  <c r="R29" i="1"/>
  <c r="R31" i="1"/>
  <c r="R28" i="1"/>
  <c r="R16" i="1"/>
  <c r="R11" i="1"/>
  <c r="R17" i="1"/>
  <c r="R13" i="1"/>
  <c r="R10" i="1"/>
  <c r="R19" i="1"/>
  <c r="R27" i="1"/>
  <c r="R34" i="1"/>
  <c r="Q9" i="1"/>
  <c r="V22" i="1" a="1"/>
  <c r="S30" i="1" a="1"/>
  <c r="S17" i="1" a="1"/>
  <c r="V25" i="1" a="1"/>
  <c r="V27" i="1" a="1"/>
  <c r="V32" i="1" a="1"/>
  <c r="S36" i="1" a="1"/>
  <c r="S28" i="1" a="1"/>
  <c r="V12" i="1" a="1"/>
  <c r="S15" i="1" a="1"/>
  <c r="V15" i="1" a="1"/>
  <c r="S22" i="1" a="1"/>
  <c r="V19" i="1" a="1"/>
  <c r="S11" i="1" a="1"/>
  <c r="V37" i="1" a="1"/>
  <c r="V29" i="1" a="1"/>
  <c r="S25" i="1" a="1"/>
  <c r="S27" i="1" a="1"/>
  <c r="V33" i="1" a="1"/>
  <c r="S32" i="1" a="1"/>
  <c r="V24" i="1" a="1"/>
  <c r="S12" i="1" a="1"/>
  <c r="S13" i="1" a="1"/>
  <c r="V21" i="1" a="1"/>
  <c r="V34" i="1" a="1"/>
  <c r="S10" i="1" a="1"/>
  <c r="V10" i="1" a="1"/>
  <c r="V26" i="1" a="1"/>
  <c r="V11" i="1" a="1"/>
  <c r="S33" i="1" a="1"/>
  <c r="V23" i="1" a="1"/>
  <c r="V31" i="1" a="1"/>
  <c r="S24" i="1" a="1"/>
  <c r="V16" i="1" a="1"/>
  <c r="S21" i="1" a="1"/>
  <c r="S34" i="1" a="1"/>
  <c r="V14" i="1" a="1"/>
  <c r="S20" i="1" a="1"/>
  <c r="V20" i="1" a="1"/>
  <c r="S26" i="1" a="1"/>
  <c r="V35" i="1" a="1"/>
  <c r="S23" i="1" a="1"/>
  <c r="S31" i="1" a="1"/>
  <c r="V30" i="1" a="1"/>
  <c r="V17" i="1" a="1"/>
  <c r="S16" i="1" a="1"/>
  <c r="S37" i="1" a="1"/>
  <c r="S14" i="1" a="1"/>
  <c r="V36" i="1" a="1"/>
  <c r="V28" i="1" a="1"/>
  <c r="S18" i="1" a="1"/>
  <c r="V18" i="1" a="1"/>
  <c r="S35" i="1" a="1"/>
  <c r="S19" i="1" a="1"/>
  <c r="S29" i="1" a="1"/>
  <c r="U13" i="1" l="1"/>
  <c r="U9" i="1"/>
  <c r="V19" i="1"/>
  <c r="S19" i="1"/>
  <c r="S11" i="1"/>
  <c r="S29" i="1"/>
  <c r="S22" i="1"/>
  <c r="S35" i="1"/>
  <c r="S26" i="1"/>
  <c r="V10" i="1"/>
  <c r="V15" i="1"/>
  <c r="V18" i="1"/>
  <c r="V20" i="1"/>
  <c r="S10" i="1"/>
  <c r="S15" i="1"/>
  <c r="S18" i="1"/>
  <c r="S20" i="1"/>
  <c r="V34" i="1"/>
  <c r="V28" i="1"/>
  <c r="V14" i="1"/>
  <c r="V21" i="1"/>
  <c r="V12" i="1"/>
  <c r="V36" i="1"/>
  <c r="S34" i="1"/>
  <c r="S13" i="1"/>
  <c r="S28" i="1"/>
  <c r="S14" i="1"/>
  <c r="S21" i="1"/>
  <c r="S12" i="1"/>
  <c r="S36" i="1"/>
  <c r="S37" i="1"/>
  <c r="V16" i="1"/>
  <c r="V24" i="1"/>
  <c r="V32" i="1"/>
  <c r="S16" i="1"/>
  <c r="S24" i="1"/>
  <c r="S32" i="1"/>
  <c r="V27" i="1"/>
  <c r="V17" i="1"/>
  <c r="V31" i="1"/>
  <c r="V33" i="1"/>
  <c r="V25" i="1"/>
  <c r="V30" i="1"/>
  <c r="V23" i="1"/>
  <c r="S27" i="1"/>
  <c r="S17" i="1"/>
  <c r="S31" i="1"/>
  <c r="S33" i="1"/>
  <c r="S25" i="1"/>
  <c r="S30" i="1"/>
  <c r="S23" i="1"/>
  <c r="V11" i="1"/>
  <c r="V29" i="1"/>
  <c r="V22" i="1"/>
  <c r="V35" i="1"/>
  <c r="V26" i="1"/>
  <c r="V37" i="1"/>
  <c r="R9" i="1"/>
  <c r="V13" i="1" a="1"/>
  <c r="S9" i="1" a="1"/>
  <c r="V9" i="1" a="1"/>
  <c r="V13" i="1" l="1"/>
  <c r="S9" i="1"/>
  <c r="V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Frederick</author>
  </authors>
  <commentList>
    <comment ref="E7" authorId="0" shapeId="0" xr:uid="{00000000-0006-0000-0100-000001000000}">
      <text>
        <r>
          <rPr>
            <b/>
            <sz val="9"/>
            <color indexed="81"/>
            <rFont val="Tahoma"/>
            <family val="2"/>
          </rPr>
          <t>Robert Frederick:</t>
        </r>
        <r>
          <rPr>
            <sz val="9"/>
            <color indexed="81"/>
            <rFont val="Tahoma"/>
            <family val="2"/>
          </rPr>
          <t xml:space="preserve">
These are vlaues of P1/P3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<sst xmlns="http://schemas.openxmlformats.org/spreadsheetml/2006/main" count="81" uniqueCount="40">
  <si>
    <t xml:space="preserve">        =CF(k,Ae/At,P1/P3)</t>
  </si>
  <si>
    <t>Commands that you use to edit and run macros are found in the Code group of the Developer tab, which is hidden by default. To make the Developer tab visible, do the following:</t>
  </si>
  <si>
    <t>1. Click the File tab, and then click Options.</t>
  </si>
  <si>
    <t>2. Click the Customize Ribbon category.</t>
  </si>
  <si>
    <t>3. Under Customize the Ribbon, in the Main Tabs list, click Developer, and then click OK.</t>
  </si>
  <si>
    <t>4. Return to Spreadsheet</t>
  </si>
  <si>
    <t>5. To see Marcos go to DEVELOPER ===&gt;&gt; VISUAL BASIC</t>
  </si>
  <si>
    <t xml:space="preserve"> </t>
  </si>
  <si>
    <t>To Calculate Supersonic Mach Number</t>
  </si>
  <si>
    <t xml:space="preserve">       =Comissions(k,area_ratio)</t>
  </si>
  <si>
    <t>To Calculate Thrust Coefficient</t>
  </si>
  <si>
    <t>Enter Values in Green</t>
  </si>
  <si>
    <t>Super</t>
  </si>
  <si>
    <t>Sub</t>
  </si>
  <si>
    <t>Ae/At</t>
  </si>
  <si>
    <t>Me,super</t>
  </si>
  <si>
    <t>Msub</t>
  </si>
  <si>
    <t>Cf</t>
  </si>
  <si>
    <t>6. You will need to add a macro to cacluate the subsonic Mach Number with a new initial guess.</t>
  </si>
  <si>
    <t>Dr. Robert Frederick, Professor of MAE</t>
  </si>
  <si>
    <r>
      <rPr>
        <b/>
        <i/>
        <sz val="18"/>
        <rFont val="Symbol"/>
        <family val="1"/>
        <charset val="2"/>
      </rPr>
      <t xml:space="preserve">g </t>
    </r>
    <r>
      <rPr>
        <b/>
        <i/>
        <sz val="10"/>
        <rFont val="Arial"/>
        <family val="2"/>
      </rPr>
      <t>=</t>
    </r>
  </si>
  <si>
    <t>Opt</t>
  </si>
  <si>
    <t>CF_opt</t>
  </si>
  <si>
    <t>Cf_min</t>
  </si>
  <si>
    <r>
      <rPr>
        <i/>
        <sz val="11"/>
        <color theme="1"/>
        <rFont val="Calibri"/>
        <family val="2"/>
        <scheme val="minor"/>
      </rPr>
      <t xml:space="preserve">Pc/Pa </t>
    </r>
    <r>
      <rPr>
        <sz val="11"/>
        <color theme="1"/>
        <rFont val="Calibri"/>
        <family val="2"/>
        <scheme val="minor"/>
      </rPr>
      <t>= 75</t>
    </r>
  </si>
  <si>
    <r>
      <rPr>
        <i/>
        <sz val="11"/>
        <color theme="1"/>
        <rFont val="Calibri"/>
        <family val="2"/>
        <scheme val="minor"/>
      </rPr>
      <t xml:space="preserve">Pc/Pa </t>
    </r>
    <r>
      <rPr>
        <sz val="11"/>
        <color theme="1"/>
        <rFont val="Calibri"/>
        <family val="2"/>
        <scheme val="minor"/>
      </rPr>
      <t xml:space="preserve">=  </t>
    </r>
  </si>
  <si>
    <t>∞</t>
  </si>
  <si>
    <t>Line of maximum thrust coefficient           Pe = Pa</t>
  </si>
  <si>
    <t>Line of separation</t>
  </si>
  <si>
    <t>UAH Propulsion Research Center - 2022</t>
  </si>
  <si>
    <t>UAH Propulsion Research Center - 2021</t>
  </si>
  <si>
    <t>Mguess</t>
  </si>
  <si>
    <t>g =</t>
  </si>
  <si>
    <t>Pc/Pa</t>
  </si>
  <si>
    <t>Pc/Pe</t>
  </si>
  <si>
    <t>Isentropic</t>
  </si>
  <si>
    <t>Separation</t>
  </si>
  <si>
    <t>Normal Shock</t>
  </si>
  <si>
    <t>Pe/Pa</t>
  </si>
  <si>
    <t>Veronica Loomis, 02HW-SPA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</si>
</sst>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15" x14ac:knownFonts="1">
    <font>
      <sz val="11"/>
      <color theme="1"/>
      <name val="Calibri"/>
      <family val="2"/>
      <scheme val="minor"/>
    </font>
    <font>
      <sz val="10"/>
      <color theme="1"/>
      <name val="Segoe UI"/>
      <family val="2"/>
    </font>
    <font>
      <b/>
      <sz val="10"/>
      <name val="Arial"/>
      <family val="2"/>
    </font>
    <font>
      <i/>
      <sz val="10"/>
      <color theme="1"/>
      <name val="Arial"/>
      <family val="2"/>
    </font>
    <font>
      <b/>
      <sz val="10"/>
      <color theme="1"/>
      <name val="Segoe UI"/>
      <family val="2"/>
    </font>
    <font>
      <b/>
      <i/>
      <sz val="10"/>
      <name val="Arial"/>
      <family val="2"/>
    </font>
    <font>
      <sz val="10"/>
      <name val="Arial"/>
      <family val="2"/>
    </font>
    <font>
      <b/>
      <sz val="10"/>
      <name val="Arial"/>
      <family val="2"/>
    </font>
    <font>
      <b/>
      <sz val="9"/>
      <color indexed="81"/>
      <name val="Tahoma"/>
      <family val="2"/>
    </font>
    <font>
      <sz val="9"/>
      <color indexed="81"/>
      <name val="Tahoma"/>
      <family val="2"/>
    </font>
    <font>
      <b/>
      <i/>
      <sz val="18"/>
      <name val="Symbol"/>
      <family val="1"/>
      <charset val="2"/>
    </font>
    <font>
      <b/>
      <sz val="11"/>
      <color theme="0"/>
      <name val="Calibri"/>
      <family val="2"/>
      <scheme val="minor"/>
    </font>
    <font>
      <i/>
      <sz val="11"/>
      <color theme="1"/>
      <name val="Calibri"/>
      <family val="2"/>
      <scheme val="minor"/>
    </font>
    <font>
      <sz val="16"/>
      <color theme="1"/>
      <name val="Calibri"/>
      <family val="2"/>
    </font>
    <font>
      <b/>
      <sz val="11"/>
      <color theme="1"/>
      <name val="Calibri"/>
      <family val="2"/>
      <scheme val="minor"/>
    </font>
  </fonts>
  <fills count="8">
    <fill>
      <patternFill patternType="none"/>
    </fill>
    <fill>
      <patternFill patternType="gray125"/>
    </fill>
    <fill>
      <patternFill patternType="solid">
        <fgColor rgb="FF99FF66"/>
        <bgColor indexed="64"/>
      </patternFill>
    </fill>
    <fill>
      <patternFill patternType="solid">
        <fgColor theme="0" tint="-4.9989318521683403E-2"/>
        <bgColor indexed="64"/>
      </patternFill>
    </fill>
    <fill>
      <patternFill patternType="solid">
        <fgColor theme="2"/>
        <bgColor indexed="64"/>
      </patternFill>
    </fill>
    <fill>
      <patternFill patternType="solid">
        <fgColor rgb="FFA5A5A5"/>
      </patternFill>
    </fill>
    <fill>
      <patternFill patternType="solid">
        <fgColor rgb="FFFF79FF"/>
        <bgColor indexed="64"/>
      </patternFill>
    </fill>
    <fill>
      <patternFill patternType="solid">
        <fgColor rgb="FFFFFF00"/>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11" fillId="5" borderId="7" applyNumberFormat="0" applyAlignment="0" applyProtection="0"/>
  </cellStyleXfs>
  <cellXfs count="35">
    <xf numFmtId="0" fontId="0" fillId="0" borderId="0" xfId="0"/>
    <xf numFmtId="0" fontId="2" fillId="0" borderId="0" xfId="0" applyFont="1"/>
    <xf numFmtId="0" fontId="3" fillId="0" borderId="0" xfId="0" quotePrefix="1" applyFont="1" applyAlignment="1">
      <alignment horizontal="left"/>
    </xf>
    <xf numFmtId="0" fontId="3" fillId="0" borderId="0" xfId="0" quotePrefix="1" applyFont="1"/>
    <xf numFmtId="0" fontId="0" fillId="0" borderId="0" xfId="0" applyAlignment="1">
      <alignment horizontal="left" vertical="center" indent="1"/>
    </xf>
    <xf numFmtId="0" fontId="4" fillId="0" borderId="0" xfId="0" applyFont="1" applyAlignment="1">
      <alignment horizontal="left" vertical="center" wrapText="1" indent="1"/>
    </xf>
    <xf numFmtId="0" fontId="1" fillId="0" borderId="0" xfId="0" applyFont="1" applyAlignment="1">
      <alignment horizontal="left" vertical="center" indent="2"/>
    </xf>
    <xf numFmtId="0" fontId="5" fillId="0" borderId="0" xfId="0" applyFont="1"/>
    <xf numFmtId="0" fontId="2" fillId="3" borderId="1" xfId="0" applyFont="1" applyFill="1" applyBorder="1" applyAlignment="1">
      <alignment horizontal="center"/>
    </xf>
    <xf numFmtId="0" fontId="2" fillId="2" borderId="2" xfId="0" applyFont="1" applyFill="1" applyBorder="1" applyAlignment="1">
      <alignment horizontal="center"/>
    </xf>
    <xf numFmtId="0" fontId="6" fillId="0" borderId="3" xfId="0" applyFont="1" applyBorder="1"/>
    <xf numFmtId="0" fontId="7" fillId="4" borderId="4" xfId="0" applyFont="1" applyFill="1" applyBorder="1" applyAlignment="1">
      <alignment horizontal="center"/>
    </xf>
    <xf numFmtId="0" fontId="2" fillId="4" borderId="2" xfId="0" applyFont="1" applyFill="1" applyBorder="1" applyAlignment="1">
      <alignment horizontal="center"/>
    </xf>
    <xf numFmtId="0" fontId="2" fillId="3" borderId="5" xfId="0" applyFont="1" applyFill="1" applyBorder="1" applyAlignment="1">
      <alignment horizontal="center"/>
    </xf>
    <xf numFmtId="0" fontId="7" fillId="4" borderId="2" xfId="0" applyFont="1" applyFill="1" applyBorder="1" applyAlignment="1">
      <alignment horizontal="center"/>
    </xf>
    <xf numFmtId="0" fontId="2" fillId="2" borderId="6" xfId="0" applyFont="1" applyFill="1" applyBorder="1" applyAlignment="1">
      <alignment horizontal="center"/>
    </xf>
    <xf numFmtId="0" fontId="7" fillId="4" borderId="6" xfId="0" applyFont="1" applyFill="1" applyBorder="1" applyAlignment="1">
      <alignment horizontal="center"/>
    </xf>
    <xf numFmtId="0" fontId="7" fillId="4" borderId="5" xfId="0" applyFont="1" applyFill="1" applyBorder="1" applyAlignment="1">
      <alignment horizontal="center"/>
    </xf>
    <xf numFmtId="0" fontId="2" fillId="2" borderId="1" xfId="0" applyFont="1" applyFill="1" applyBorder="1" applyAlignment="1">
      <alignment horizontal="center"/>
    </xf>
    <xf numFmtId="0" fontId="2" fillId="2" borderId="0" xfId="0" applyFont="1" applyFill="1" applyAlignment="1">
      <alignment horizontal="center"/>
    </xf>
    <xf numFmtId="0" fontId="2" fillId="4" borderId="0" xfId="0" applyFont="1" applyFill="1" applyAlignment="1">
      <alignment horizontal="center"/>
    </xf>
    <xf numFmtId="0" fontId="13" fillId="0" borderId="0" xfId="0" applyFont="1"/>
    <xf numFmtId="0" fontId="11" fillId="5" borderId="8" xfId="1" applyBorder="1" applyAlignment="1">
      <alignment horizontal="center"/>
    </xf>
    <xf numFmtId="0" fontId="6" fillId="2" borderId="3" xfId="0" applyFont="1" applyFill="1" applyBorder="1"/>
    <xf numFmtId="164" fontId="6" fillId="0" borderId="3" xfId="0" applyNumberFormat="1" applyFont="1" applyBorder="1"/>
    <xf numFmtId="165" fontId="6" fillId="0" borderId="3" xfId="0" applyNumberFormat="1" applyFont="1" applyBorder="1"/>
    <xf numFmtId="0" fontId="2" fillId="4" borderId="9" xfId="0" applyFont="1" applyFill="1" applyBorder="1" applyAlignment="1">
      <alignment horizontal="center"/>
    </xf>
    <xf numFmtId="0" fontId="14" fillId="6" borderId="10" xfId="0" applyFont="1" applyFill="1" applyBorder="1" applyAlignment="1">
      <alignment horizontal="center"/>
    </xf>
    <xf numFmtId="0" fontId="14" fillId="6" borderId="11" xfId="0" applyFont="1" applyFill="1" applyBorder="1" applyAlignment="1">
      <alignment horizontal="center"/>
    </xf>
    <xf numFmtId="0" fontId="14" fillId="6" borderId="10" xfId="0" applyFont="1" applyFill="1" applyBorder="1" applyAlignment="1">
      <alignment horizontal="center"/>
    </xf>
    <xf numFmtId="0" fontId="14" fillId="6" borderId="0" xfId="0" applyFont="1" applyFill="1" applyAlignment="1">
      <alignment horizontal="center"/>
    </xf>
    <xf numFmtId="0" fontId="2" fillId="0" borderId="0" xfId="0" applyFont="1" applyAlignment="1">
      <alignment horizontal="center"/>
    </xf>
    <xf numFmtId="0" fontId="0" fillId="0" borderId="0" xfId="0" applyAlignment="1">
      <alignment horizontal="center"/>
    </xf>
    <xf numFmtId="0" fontId="14" fillId="6" borderId="12" xfId="0" applyFont="1" applyFill="1" applyBorder="1" applyAlignment="1">
      <alignment horizontal="center"/>
    </xf>
    <xf numFmtId="164" fontId="6" fillId="7" borderId="3" xfId="0" applyNumberFormat="1" applyFont="1" applyFill="1" applyBorder="1"/>
  </cellXfs>
  <cellStyles count="2">
    <cellStyle name="Check Cell" xfId="1" builtinId="23"/>
    <cellStyle name="Normal" xfId="0" builtinId="0"/>
  </cellStyles>
  <dxfs count="1">
    <dxf>
      <font>
        <color rgb="FF9C0006"/>
      </font>
      <fill>
        <patternFill>
          <bgColor rgb="FFFFC7CE"/>
        </patternFill>
      </fill>
    </dxf>
  </dxfs>
  <tableStyles count="0" defaultTableStyle="TableStyleMedium2" defaultPivotStyle="PivotStyleLight16"/>
  <colors>
    <mruColors>
      <color rgb="FF00FFFF"/>
      <color rgb="FFFF7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Thrust Coefficient vs. Area Ratio - with</a:t>
            </a:r>
            <a:r>
              <a:rPr lang="en-US" baseline="0"/>
              <a:t> Separation Lines included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106996564574516E-2"/>
          <c:y val="7.5952103173878113E-2"/>
          <c:w val="0.66775515803797181"/>
          <c:h val="0.8253564251778287"/>
        </c:manualLayout>
      </c:layout>
      <c:scatterChart>
        <c:scatterStyle val="smoothMarker"/>
        <c:varyColors val="0"/>
        <c:ser>
          <c:idx val="0"/>
          <c:order val="0"/>
          <c:tx>
            <c:v>Pc/Pa = 2</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CF_Plot!$E$9:$E$37</c:f>
              <c:numCache>
                <c:formatCode>0.000</c:formatCode>
                <c:ptCount val="29"/>
                <c:pt idx="0">
                  <c:v>0.92053650439584378</c:v>
                </c:pt>
                <c:pt idx="1">
                  <c:v>0.92838531435240834</c:v>
                </c:pt>
                <c:pt idx="2">
                  <c:v>0.92616548436723312</c:v>
                </c:pt>
                <c:pt idx="3">
                  <c:v>0.91845271418153951</c:v>
                </c:pt>
                <c:pt idx="4">
                  <c:v>0.90694012772591714</c:v>
                </c:pt>
                <c:pt idx="5">
                  <c:v>0.89258756588251631</c:v>
                </c:pt>
                <c:pt idx="6">
                  <c:v>0.83783653521464574</c:v>
                </c:pt>
                <c:pt idx="7">
                  <c:v>0.79468624296005097</c:v>
                </c:pt>
                <c:pt idx="8">
                  <c:v>0.53868466086081046</c:v>
                </c:pt>
                <c:pt idx="9">
                  <c:v>0.25066794743181275</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2-0E19-4BB9-A6D3-97630FC39FE4}"/>
            </c:ext>
          </c:extLst>
        </c:ser>
        <c:ser>
          <c:idx val="1"/>
          <c:order val="1"/>
          <c:tx>
            <c:v>Pc/Pa = 4</c:v>
          </c:tx>
          <c:spPr>
            <a:ln w="19050" cap="rnd">
              <a:solidFill>
                <a:schemeClr val="accent2"/>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CF_Plot!$F$9:$F$37</c:f>
              <c:numCache>
                <c:formatCode>0.000</c:formatCode>
                <c:ptCount val="29"/>
                <c:pt idx="0">
                  <c:v>1.003869837729177</c:v>
                </c:pt>
                <c:pt idx="1">
                  <c:v>1.0200519810190749</c:v>
                </c:pt>
                <c:pt idx="2">
                  <c:v>1.0261654843672332</c:v>
                </c:pt>
                <c:pt idx="3">
                  <c:v>1.0267860475148729</c:v>
                </c:pt>
                <c:pt idx="4">
                  <c:v>1.0236067943925837</c:v>
                </c:pt>
                <c:pt idx="5">
                  <c:v>1.0175875658825162</c:v>
                </c:pt>
                <c:pt idx="6">
                  <c:v>0.98783653521464576</c:v>
                </c:pt>
                <c:pt idx="7">
                  <c:v>0.96135290962671749</c:v>
                </c:pt>
                <c:pt idx="8">
                  <c:v>0.78868466086081046</c:v>
                </c:pt>
                <c:pt idx="9">
                  <c:v>0.58400128076514601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3-0E19-4BB9-A6D3-97630FC39FE4}"/>
            </c:ext>
          </c:extLst>
        </c:ser>
        <c:ser>
          <c:idx val="2"/>
          <c:order val="2"/>
          <c:tx>
            <c:v>Pc/Pa = 10</c:v>
          </c:tx>
          <c:spPr>
            <a:ln w="19050" cap="rnd">
              <a:solidFill>
                <a:schemeClr val="accent3"/>
              </a:solidFill>
              <a:round/>
            </a:ln>
            <a:effectLst/>
          </c:spPr>
          <c:marker>
            <c:symbol val="none"/>
          </c:marker>
          <c:xVal>
            <c:multiLvlStrRef>
              <c:f>CF_Plot!$A$9:$B$37</c:f>
              <c:multiLvlStrCache>
                <c:ptCount val="29"/>
                <c:lvl>
                  <c:pt idx="0">
                    <c:v>0.999999985</c:v>
                  </c:pt>
                  <c:pt idx="1">
                    <c:v>1.358637731</c:v>
                  </c:pt>
                  <c:pt idx="2">
                    <c:v>1.511970525</c:v>
                  </c:pt>
                  <c:pt idx="3">
                    <c:v>1.628487667</c:v>
                  </c:pt>
                  <c:pt idx="4">
                    <c:v>1.725090246</c:v>
                  </c:pt>
                  <c:pt idx="5">
                    <c:v>1.808574733</c:v>
                  </c:pt>
                  <c:pt idx="6">
                    <c:v>2.009993216</c:v>
                  </c:pt>
                  <c:pt idx="7">
                    <c:v>2.117936992</c:v>
                  </c:pt>
                  <c:pt idx="8">
                    <c:v>2.5021194</c:v>
                  </c:pt>
                  <c:pt idx="9">
                    <c:v>2.758435304</c:v>
                  </c:pt>
                  <c:pt idx="10">
                    <c:v>3.357929634</c:v>
                  </c:pt>
                  <c:pt idx="11">
                    <c:v>3.55045811</c:v>
                  </c:pt>
                  <c:pt idx="12">
                    <c:v>3.708665796</c:v>
                  </c:pt>
                  <c:pt idx="13">
                    <c:v>3.843342184</c:v>
                  </c:pt>
                  <c:pt idx="14">
                    <c:v>3.903944093</c:v>
                  </c:pt>
                  <c:pt idx="15">
                    <c:v>4.113365807</c:v>
                  </c:pt>
                  <c:pt idx="16">
                    <c:v>4.15921008</c:v>
                  </c:pt>
                  <c:pt idx="17">
                    <c:v>4.527499109</c:v>
                  </c:pt>
                  <c:pt idx="18">
                    <c:v>4.796039322</c:v>
                  </c:pt>
                  <c:pt idx="19">
                    <c:v>5.009046406</c:v>
                  </c:pt>
                  <c:pt idx="20">
                    <c:v>5.472780903</c:v>
                  </c:pt>
                  <c:pt idx="21">
                    <c:v>5.592468644</c:v>
                  </c:pt>
                  <c:pt idx="22">
                    <c:v>5.700789749</c:v>
                  </c:pt>
                  <c:pt idx="23">
                    <c:v>5.700789749</c:v>
                  </c:pt>
                  <c:pt idx="24">
                    <c:v>5.700789749</c:v>
                  </c:pt>
                  <c:pt idx="25">
                    <c:v>5.700789749</c:v>
                  </c:pt>
                  <c:pt idx="26">
                    <c:v>5.700789749</c:v>
                  </c:pt>
                  <c:pt idx="27">
                    <c:v>5.700789749</c:v>
                  </c:pt>
                  <c:pt idx="28">
                    <c:v>5.700789749</c:v>
                  </c:pt>
                </c:lvl>
                <c:lvl>
                  <c:pt idx="0">
                    <c:v>1</c:v>
                  </c:pt>
                  <c:pt idx="1">
                    <c:v>1.1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lvl>
              </c:multiLvlStrCache>
            </c:multiLvlStrRef>
          </c:xVal>
          <c:yVal>
            <c:numRef>
              <c:f>CF_Plot!$G$9:$G$37</c:f>
              <c:numCache>
                <c:formatCode>0.000</c:formatCode>
                <c:ptCount val="29"/>
                <c:pt idx="0">
                  <c:v>1.1538698377291772</c:v>
                </c:pt>
                <c:pt idx="1">
                  <c:v>1.1850519810190749</c:v>
                </c:pt>
                <c:pt idx="2">
                  <c:v>1.2061654843672331</c:v>
                </c:pt>
                <c:pt idx="3">
                  <c:v>1.2217860475148727</c:v>
                </c:pt>
                <c:pt idx="4">
                  <c:v>1.2336067943925837</c:v>
                </c:pt>
                <c:pt idx="5">
                  <c:v>1.2425875658825163</c:v>
                </c:pt>
                <c:pt idx="6">
                  <c:v>1.2578365352146457</c:v>
                </c:pt>
                <c:pt idx="7">
                  <c:v>1.2613529096267175</c:v>
                </c:pt>
                <c:pt idx="8">
                  <c:v>1.2386846608608104</c:v>
                </c:pt>
                <c:pt idx="9">
                  <c:v>1.1840012807651461</c:v>
                </c:pt>
                <c:pt idx="10">
                  <c:v>0.87096946973402434</c:v>
                </c:pt>
                <c:pt idx="11">
                  <c:v>0.69388882579973554</c:v>
                </c:pt>
                <c:pt idx="12">
                  <c:v>0.51114702803465928</c:v>
                </c:pt>
                <c:pt idx="13">
                  <c:v>0.32480709396683127</c:v>
                </c:pt>
                <c:pt idx="14">
                  <c:v>0.23066312414108037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4-0E19-4BB9-A6D3-97630FC39FE4}"/>
            </c:ext>
          </c:extLst>
        </c:ser>
        <c:ser>
          <c:idx val="3"/>
          <c:order val="3"/>
          <c:tx>
            <c:v>Pc/Pa = 25</c:v>
          </c:tx>
          <c:spPr>
            <a:ln w="19050" cap="rnd">
              <a:solidFill>
                <a:schemeClr val="accent4"/>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CF_Plot!$H$9:$H$37</c:f>
              <c:numCache>
                <c:formatCode>0.000</c:formatCode>
                <c:ptCount val="29"/>
                <c:pt idx="0">
                  <c:v>1.213869837729177</c:v>
                </c:pt>
                <c:pt idx="1">
                  <c:v>1.251051981019075</c:v>
                </c:pt>
                <c:pt idx="2">
                  <c:v>1.278165484367233</c:v>
                </c:pt>
                <c:pt idx="3">
                  <c:v>1.2997860475148728</c:v>
                </c:pt>
                <c:pt idx="4">
                  <c:v>1.3176067943925838</c:v>
                </c:pt>
                <c:pt idx="5">
                  <c:v>1.3325875658825161</c:v>
                </c:pt>
                <c:pt idx="6">
                  <c:v>1.3658365352146458</c:v>
                </c:pt>
                <c:pt idx="7">
                  <c:v>1.3813529096267176</c:v>
                </c:pt>
                <c:pt idx="8">
                  <c:v>1.4186846608608106</c:v>
                </c:pt>
                <c:pt idx="9">
                  <c:v>1.4240012807651461</c:v>
                </c:pt>
                <c:pt idx="10">
                  <c:v>1.3509694697340244</c:v>
                </c:pt>
                <c:pt idx="11">
                  <c:v>1.2938888257997356</c:v>
                </c:pt>
                <c:pt idx="12">
                  <c:v>1.2311470280346595</c:v>
                </c:pt>
                <c:pt idx="13">
                  <c:v>1.1648070939668314</c:v>
                </c:pt>
                <c:pt idx="14">
                  <c:v>1.1306631241410803</c:v>
                </c:pt>
                <c:pt idx="15">
                  <c:v>0.98960718576645035</c:v>
                </c:pt>
                <c:pt idx="16">
                  <c:v>0.95350160331757861</c:v>
                </c:pt>
                <c:pt idx="17">
                  <c:v>0.58184838964226548</c:v>
                </c:pt>
                <c:pt idx="18">
                  <c:v>0.19960891967784922</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5-0E19-4BB9-A6D3-97630FC39FE4}"/>
            </c:ext>
          </c:extLst>
        </c:ser>
        <c:ser>
          <c:idx val="4"/>
          <c:order val="4"/>
          <c:tx>
            <c:v>Pc/Pa = 75</c:v>
          </c:tx>
          <c:spPr>
            <a:ln w="19050" cap="rnd">
              <a:solidFill>
                <a:schemeClr val="accent5"/>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CF_Plot!$I$9:$I$37</c:f>
              <c:numCache>
                <c:formatCode>0.000</c:formatCode>
                <c:ptCount val="29"/>
                <c:pt idx="0">
                  <c:v>1.2405365043958438</c:v>
                </c:pt>
                <c:pt idx="1">
                  <c:v>1.2803853143524084</c:v>
                </c:pt>
                <c:pt idx="2">
                  <c:v>1.310165484367233</c:v>
                </c:pt>
                <c:pt idx="3">
                  <c:v>1.3344527141815394</c:v>
                </c:pt>
                <c:pt idx="4">
                  <c:v>1.354940127725917</c:v>
                </c:pt>
                <c:pt idx="5">
                  <c:v>1.3725875658825162</c:v>
                </c:pt>
                <c:pt idx="6">
                  <c:v>1.4138365352146458</c:v>
                </c:pt>
                <c:pt idx="7">
                  <c:v>1.4346862429600509</c:v>
                </c:pt>
                <c:pt idx="8">
                  <c:v>1.4986846608608104</c:v>
                </c:pt>
                <c:pt idx="9">
                  <c:v>1.5306679474318128</c:v>
                </c:pt>
                <c:pt idx="10">
                  <c:v>1.5643028030673578</c:v>
                </c:pt>
                <c:pt idx="11">
                  <c:v>1.5605554924664022</c:v>
                </c:pt>
                <c:pt idx="12">
                  <c:v>1.5511470280346593</c:v>
                </c:pt>
                <c:pt idx="13">
                  <c:v>1.5381404273001646</c:v>
                </c:pt>
                <c:pt idx="14">
                  <c:v>1.5306631241410802</c:v>
                </c:pt>
                <c:pt idx="15">
                  <c:v>1.4962738524331169</c:v>
                </c:pt>
                <c:pt idx="16">
                  <c:v>1.4868349366509119</c:v>
                </c:pt>
                <c:pt idx="17">
                  <c:v>1.3818483896422653</c:v>
                </c:pt>
                <c:pt idx="18">
                  <c:v>1.2662755863445159</c:v>
                </c:pt>
                <c:pt idx="19">
                  <c:v>1.1455405484126187</c:v>
                </c:pt>
                <c:pt idx="20">
                  <c:v>0.76912983003539304</c:v>
                </c:pt>
                <c:pt idx="21">
                  <c:v>0.64114573788052165</c:v>
                </c:pt>
                <c:pt idx="22">
                  <c:v>0.51242304594959909</c:v>
                </c:pt>
                <c:pt idx="23">
                  <c:v>0.51242304594959909</c:v>
                </c:pt>
                <c:pt idx="24">
                  <c:v>0.51242304594959909</c:v>
                </c:pt>
                <c:pt idx="25">
                  <c:v>0.51242304594959909</c:v>
                </c:pt>
                <c:pt idx="26">
                  <c:v>0.51242304594959909</c:v>
                </c:pt>
                <c:pt idx="27">
                  <c:v>0.51242304594959909</c:v>
                </c:pt>
                <c:pt idx="28">
                  <c:v>0.51242304594959909</c:v>
                </c:pt>
              </c:numCache>
            </c:numRef>
          </c:yVal>
          <c:smooth val="1"/>
          <c:extLst>
            <c:ext xmlns:c16="http://schemas.microsoft.com/office/drawing/2014/chart" uri="{C3380CC4-5D6E-409C-BE32-E72D297353CC}">
              <c16:uniqueId val="{00000006-0E19-4BB9-A6D3-97630FC39FE4}"/>
            </c:ext>
          </c:extLst>
        </c:ser>
        <c:ser>
          <c:idx val="5"/>
          <c:order val="5"/>
          <c:tx>
            <c:v>Pc/Pa = 150</c:v>
          </c:tx>
          <c:spPr>
            <a:ln w="19050" cap="rnd">
              <a:solidFill>
                <a:schemeClr val="accent6"/>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CF_Plot!$J$9:$J$37</c:f>
              <c:numCache>
                <c:formatCode>0.000</c:formatCode>
                <c:ptCount val="29"/>
                <c:pt idx="0">
                  <c:v>1.2472031710625104</c:v>
                </c:pt>
                <c:pt idx="1">
                  <c:v>1.2877186476857416</c:v>
                </c:pt>
                <c:pt idx="2">
                  <c:v>1.318165484367233</c:v>
                </c:pt>
                <c:pt idx="3">
                  <c:v>1.3431193808482063</c:v>
                </c:pt>
                <c:pt idx="4">
                  <c:v>1.3642734610592504</c:v>
                </c:pt>
                <c:pt idx="5">
                  <c:v>1.3825875658825164</c:v>
                </c:pt>
                <c:pt idx="6">
                  <c:v>1.4258365352146458</c:v>
                </c:pt>
                <c:pt idx="7">
                  <c:v>1.4480195762933843</c:v>
                </c:pt>
                <c:pt idx="8">
                  <c:v>1.5186846608608104</c:v>
                </c:pt>
                <c:pt idx="9">
                  <c:v>1.5573346140984794</c:v>
                </c:pt>
                <c:pt idx="10">
                  <c:v>1.617636136400691</c:v>
                </c:pt>
                <c:pt idx="11">
                  <c:v>1.6272221591330689</c:v>
                </c:pt>
                <c:pt idx="12">
                  <c:v>1.6311470280346594</c:v>
                </c:pt>
                <c:pt idx="13">
                  <c:v>1.6314737606334979</c:v>
                </c:pt>
                <c:pt idx="14">
                  <c:v>1.6306631241410803</c:v>
                </c:pt>
                <c:pt idx="15">
                  <c:v>1.6229405190997837</c:v>
                </c:pt>
                <c:pt idx="16">
                  <c:v>1.6201682699842452</c:v>
                </c:pt>
                <c:pt idx="17">
                  <c:v>1.5818483896422653</c:v>
                </c:pt>
                <c:pt idx="18">
                  <c:v>1.5329422530111827</c:v>
                </c:pt>
                <c:pt idx="19">
                  <c:v>1.4788738817459521</c:v>
                </c:pt>
                <c:pt idx="20">
                  <c:v>1.3024631633687265</c:v>
                </c:pt>
                <c:pt idx="21">
                  <c:v>1.2411457378805215</c:v>
                </c:pt>
                <c:pt idx="22">
                  <c:v>1.1790897126162658</c:v>
                </c:pt>
                <c:pt idx="23">
                  <c:v>1.1790897126162658</c:v>
                </c:pt>
                <c:pt idx="24">
                  <c:v>1.1790897126162658</c:v>
                </c:pt>
                <c:pt idx="25">
                  <c:v>1.1790897126162658</c:v>
                </c:pt>
                <c:pt idx="26">
                  <c:v>1.1790897126162658</c:v>
                </c:pt>
                <c:pt idx="27">
                  <c:v>1.1790897126162658</c:v>
                </c:pt>
                <c:pt idx="28">
                  <c:v>1.1790897126162658</c:v>
                </c:pt>
              </c:numCache>
            </c:numRef>
          </c:yVal>
          <c:smooth val="1"/>
          <c:extLst>
            <c:ext xmlns:c16="http://schemas.microsoft.com/office/drawing/2014/chart" uri="{C3380CC4-5D6E-409C-BE32-E72D297353CC}">
              <c16:uniqueId val="{00000007-0E19-4BB9-A6D3-97630FC39FE4}"/>
            </c:ext>
          </c:extLst>
        </c:ser>
        <c:ser>
          <c:idx val="6"/>
          <c:order val="6"/>
          <c:tx>
            <c:v>Pc/Pa = 500</c:v>
          </c:tx>
          <c:spPr>
            <a:ln w="19050" cap="rnd">
              <a:solidFill>
                <a:schemeClr val="accent1">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CF_Plot!$K$9:$K$37</c:f>
              <c:numCache>
                <c:formatCode>0.000</c:formatCode>
                <c:ptCount val="29"/>
                <c:pt idx="0">
                  <c:v>1.2518698377291773</c:v>
                </c:pt>
                <c:pt idx="1">
                  <c:v>1.2928519810190751</c:v>
                </c:pt>
                <c:pt idx="2">
                  <c:v>1.3237654843672331</c:v>
                </c:pt>
                <c:pt idx="3">
                  <c:v>1.3491860475148729</c:v>
                </c:pt>
                <c:pt idx="4">
                  <c:v>1.3708067943925837</c:v>
                </c:pt>
                <c:pt idx="5">
                  <c:v>1.3895875658825163</c:v>
                </c:pt>
                <c:pt idx="6">
                  <c:v>1.4342365352146458</c:v>
                </c:pt>
                <c:pt idx="7">
                  <c:v>1.4573529096267175</c:v>
                </c:pt>
                <c:pt idx="8">
                  <c:v>1.5326846608608105</c:v>
                </c:pt>
                <c:pt idx="9">
                  <c:v>1.576001280765146</c:v>
                </c:pt>
                <c:pt idx="10">
                  <c:v>1.6549694697340245</c:v>
                </c:pt>
                <c:pt idx="11">
                  <c:v>1.6738888257997355</c:v>
                </c:pt>
                <c:pt idx="12">
                  <c:v>1.6871470280346594</c:v>
                </c:pt>
                <c:pt idx="13">
                  <c:v>1.6968070939668314</c:v>
                </c:pt>
                <c:pt idx="14">
                  <c:v>1.7006631241410803</c:v>
                </c:pt>
                <c:pt idx="15">
                  <c:v>1.7116071857664503</c:v>
                </c:pt>
                <c:pt idx="16">
                  <c:v>1.7135016033175787</c:v>
                </c:pt>
                <c:pt idx="17">
                  <c:v>1.7218483896422654</c:v>
                </c:pt>
                <c:pt idx="18">
                  <c:v>1.7196089196778495</c:v>
                </c:pt>
                <c:pt idx="19">
                  <c:v>1.7122072150792853</c:v>
                </c:pt>
                <c:pt idx="20">
                  <c:v>1.6757964967020598</c:v>
                </c:pt>
                <c:pt idx="21">
                  <c:v>1.6611457378805217</c:v>
                </c:pt>
                <c:pt idx="22">
                  <c:v>1.6457563792829324</c:v>
                </c:pt>
                <c:pt idx="23">
                  <c:v>1.6457563792829324</c:v>
                </c:pt>
                <c:pt idx="24">
                  <c:v>1.6457563792829324</c:v>
                </c:pt>
                <c:pt idx="25">
                  <c:v>1.6457563792829324</c:v>
                </c:pt>
                <c:pt idx="26">
                  <c:v>1.6457563792829324</c:v>
                </c:pt>
                <c:pt idx="27">
                  <c:v>1.6457563792829324</c:v>
                </c:pt>
                <c:pt idx="28">
                  <c:v>1.6457563792829324</c:v>
                </c:pt>
              </c:numCache>
            </c:numRef>
          </c:yVal>
          <c:smooth val="1"/>
          <c:extLst>
            <c:ext xmlns:c16="http://schemas.microsoft.com/office/drawing/2014/chart" uri="{C3380CC4-5D6E-409C-BE32-E72D297353CC}">
              <c16:uniqueId val="{00000008-0E19-4BB9-A6D3-97630FC39FE4}"/>
            </c:ext>
          </c:extLst>
        </c:ser>
        <c:ser>
          <c:idx val="7"/>
          <c:order val="7"/>
          <c:tx>
            <c:v>Pc/Pa = 1000</c:v>
          </c:tx>
          <c:spPr>
            <a:ln w="19050" cap="rnd">
              <a:solidFill>
                <a:schemeClr val="accent2">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CF_Plot!$L$9:$L$37</c:f>
              <c:numCache>
                <c:formatCode>0.000</c:formatCode>
                <c:ptCount val="29"/>
                <c:pt idx="0">
                  <c:v>1.2528698377291771</c:v>
                </c:pt>
                <c:pt idx="1">
                  <c:v>1.2939519810190749</c:v>
                </c:pt>
                <c:pt idx="2">
                  <c:v>1.3249654843672332</c:v>
                </c:pt>
                <c:pt idx="3">
                  <c:v>1.350486047514873</c:v>
                </c:pt>
                <c:pt idx="4">
                  <c:v>1.3722067943925838</c:v>
                </c:pt>
                <c:pt idx="5">
                  <c:v>1.3910875658825161</c:v>
                </c:pt>
                <c:pt idx="6">
                  <c:v>1.4360365352146458</c:v>
                </c:pt>
                <c:pt idx="7">
                  <c:v>1.4593529096267175</c:v>
                </c:pt>
                <c:pt idx="8">
                  <c:v>1.5356846608608106</c:v>
                </c:pt>
                <c:pt idx="9">
                  <c:v>1.580001280765146</c:v>
                </c:pt>
                <c:pt idx="10">
                  <c:v>1.6629694697340245</c:v>
                </c:pt>
                <c:pt idx="11">
                  <c:v>1.6838888257997355</c:v>
                </c:pt>
                <c:pt idx="12">
                  <c:v>1.6991470280346594</c:v>
                </c:pt>
                <c:pt idx="13">
                  <c:v>1.7108070939668314</c:v>
                </c:pt>
                <c:pt idx="14">
                  <c:v>1.7156631241410802</c:v>
                </c:pt>
                <c:pt idx="15">
                  <c:v>1.7306071857664505</c:v>
                </c:pt>
                <c:pt idx="16">
                  <c:v>1.7335016033175785</c:v>
                </c:pt>
                <c:pt idx="17">
                  <c:v>1.7518483896422654</c:v>
                </c:pt>
                <c:pt idx="18">
                  <c:v>1.7596089196778493</c:v>
                </c:pt>
                <c:pt idx="19">
                  <c:v>1.7622072150792853</c:v>
                </c:pt>
                <c:pt idx="20">
                  <c:v>1.7557964967020598</c:v>
                </c:pt>
                <c:pt idx="21">
                  <c:v>1.7511457378805215</c:v>
                </c:pt>
                <c:pt idx="22">
                  <c:v>1.7457563792829325</c:v>
                </c:pt>
                <c:pt idx="23">
                  <c:v>1.7457563792829325</c:v>
                </c:pt>
                <c:pt idx="24">
                  <c:v>1.7457563792829325</c:v>
                </c:pt>
                <c:pt idx="25">
                  <c:v>1.7457563792829325</c:v>
                </c:pt>
                <c:pt idx="26">
                  <c:v>1.7457563792829325</c:v>
                </c:pt>
                <c:pt idx="27">
                  <c:v>1.7457563792829325</c:v>
                </c:pt>
                <c:pt idx="28">
                  <c:v>1.7457563792829325</c:v>
                </c:pt>
              </c:numCache>
            </c:numRef>
          </c:yVal>
          <c:smooth val="1"/>
          <c:extLst>
            <c:ext xmlns:c16="http://schemas.microsoft.com/office/drawing/2014/chart" uri="{C3380CC4-5D6E-409C-BE32-E72D297353CC}">
              <c16:uniqueId val="{00000009-0E19-4BB9-A6D3-97630FC39FE4}"/>
            </c:ext>
          </c:extLst>
        </c:ser>
        <c:ser>
          <c:idx val="8"/>
          <c:order val="8"/>
          <c:tx>
            <c:v>Pc/Pa = ∞</c:v>
          </c:tx>
          <c:spPr>
            <a:ln w="19050" cap="rnd">
              <a:solidFill>
                <a:schemeClr val="accent3">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CF_Plot!$M$9:$M$37</c:f>
              <c:numCache>
                <c:formatCode>0.000</c:formatCode>
                <c:ptCount val="29"/>
                <c:pt idx="0">
                  <c:v>1.253869837629177</c:v>
                </c:pt>
                <c:pt idx="1">
                  <c:v>1.295051980909075</c:v>
                </c:pt>
                <c:pt idx="2">
                  <c:v>1.326165484247233</c:v>
                </c:pt>
                <c:pt idx="3">
                  <c:v>1.3517860473848728</c:v>
                </c:pt>
                <c:pt idx="4">
                  <c:v>1.3736067942525838</c:v>
                </c:pt>
                <c:pt idx="5">
                  <c:v>1.3925875657325162</c:v>
                </c:pt>
                <c:pt idx="6">
                  <c:v>1.4378365350346458</c:v>
                </c:pt>
                <c:pt idx="7">
                  <c:v>1.4613529094267175</c:v>
                </c:pt>
                <c:pt idx="8">
                  <c:v>1.5386846605608104</c:v>
                </c:pt>
                <c:pt idx="9">
                  <c:v>1.584001280365146</c:v>
                </c:pt>
                <c:pt idx="10">
                  <c:v>1.6709694689340244</c:v>
                </c:pt>
                <c:pt idx="11">
                  <c:v>1.6938888247997357</c:v>
                </c:pt>
                <c:pt idx="12">
                  <c:v>1.7111470268346594</c:v>
                </c:pt>
                <c:pt idx="13">
                  <c:v>1.7248070925668313</c:v>
                </c:pt>
                <c:pt idx="14">
                  <c:v>1.7306631226410802</c:v>
                </c:pt>
                <c:pt idx="15">
                  <c:v>1.7496071838664504</c:v>
                </c:pt>
                <c:pt idx="16">
                  <c:v>1.7535016013175786</c:v>
                </c:pt>
                <c:pt idx="17">
                  <c:v>1.7818483866422654</c:v>
                </c:pt>
                <c:pt idx="18">
                  <c:v>1.7996089156778494</c:v>
                </c:pt>
                <c:pt idx="19">
                  <c:v>1.8122072100792854</c:v>
                </c:pt>
                <c:pt idx="20">
                  <c:v>1.8357964887020597</c:v>
                </c:pt>
                <c:pt idx="21">
                  <c:v>1.8411457288805215</c:v>
                </c:pt>
                <c:pt idx="22">
                  <c:v>1.8457563692829324</c:v>
                </c:pt>
                <c:pt idx="23">
                  <c:v>1.8457563692829324</c:v>
                </c:pt>
                <c:pt idx="24">
                  <c:v>1.8457563692829324</c:v>
                </c:pt>
                <c:pt idx="25">
                  <c:v>1.8457563692829324</c:v>
                </c:pt>
                <c:pt idx="26">
                  <c:v>1.8457563692829324</c:v>
                </c:pt>
                <c:pt idx="27">
                  <c:v>1.8457563692829324</c:v>
                </c:pt>
                <c:pt idx="28">
                  <c:v>1.8457563692829324</c:v>
                </c:pt>
              </c:numCache>
            </c:numRef>
          </c:yVal>
          <c:smooth val="1"/>
          <c:extLst>
            <c:ext xmlns:c16="http://schemas.microsoft.com/office/drawing/2014/chart" uri="{C3380CC4-5D6E-409C-BE32-E72D297353CC}">
              <c16:uniqueId val="{0000000B-0E19-4BB9-A6D3-97630FC39FE4}"/>
            </c:ext>
          </c:extLst>
        </c:ser>
        <c:ser>
          <c:idx val="9"/>
          <c:order val="9"/>
          <c:tx>
            <c:v>P_Separation</c:v>
          </c:tx>
          <c:spPr>
            <a:ln w="38100" cap="rnd">
              <a:solidFill>
                <a:srgbClr val="FF79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CF_Plot!$S$9:$S$37</c:f>
              <c:numCache>
                <c:formatCode>General</c:formatCode>
                <c:ptCount val="29"/>
                <c:pt idx="0">
                  <c:v>-0.38875443099407803</c:v>
                </c:pt>
                <c:pt idx="1">
                  <c:v>0.14600770276093955</c:v>
                </c:pt>
                <c:pt idx="2">
                  <c:v>0.318698887453986</c:v>
                </c:pt>
                <c:pt idx="3">
                  <c:v>0.43450086407369315</c:v>
                </c:pt>
                <c:pt idx="4">
                  <c:v>0.5220142680851646</c:v>
                </c:pt>
                <c:pt idx="5">
                  <c:v>0.59217565554400153</c:v>
                </c:pt>
                <c:pt idx="6">
                  <c:v>0.74341892043172475</c:v>
                </c:pt>
                <c:pt idx="7">
                  <c:v>0.81535567383769258</c:v>
                </c:pt>
                <c:pt idx="8">
                  <c:v>1.0300944770655327</c:v>
                </c:pt>
                <c:pt idx="9">
                  <c:v>1.1446341535684723</c:v>
                </c:pt>
                <c:pt idx="10">
                  <c:v>1.3485055644947452</c:v>
                </c:pt>
                <c:pt idx="11">
                  <c:v>1.3994943811742284</c:v>
                </c:pt>
                <c:pt idx="12">
                  <c:v>1.4372600921002703</c:v>
                </c:pt>
                <c:pt idx="13">
                  <c:v>1.4667949195426639</c:v>
                </c:pt>
                <c:pt idx="14">
                  <c:v>1.4793641307199432</c:v>
                </c:pt>
                <c:pt idx="15">
                  <c:v>1.5196631142947956</c:v>
                </c:pt>
                <c:pt idx="16">
                  <c:v>1.5278813447703348</c:v>
                </c:pt>
                <c:pt idx="17">
                  <c:v>1.5870593438276359</c:v>
                </c:pt>
                <c:pt idx="18">
                  <c:v>1.6235941107862422</c:v>
                </c:pt>
                <c:pt idx="19">
                  <c:v>1.6492721730709057</c:v>
                </c:pt>
                <c:pt idx="20">
                  <c:v>1.6968515872802197</c:v>
                </c:pt>
                <c:pt idx="21">
                  <c:v>1.7075540333418076</c:v>
                </c:pt>
                <c:pt idx="22">
                  <c:v>1.7167538184270912</c:v>
                </c:pt>
                <c:pt idx="23">
                  <c:v>1.7167538184270912</c:v>
                </c:pt>
                <c:pt idx="24">
                  <c:v>1.7167538184270912</c:v>
                </c:pt>
                <c:pt idx="25">
                  <c:v>1.7167538184270912</c:v>
                </c:pt>
                <c:pt idx="26">
                  <c:v>1.7167538184270912</c:v>
                </c:pt>
                <c:pt idx="27">
                  <c:v>1.7167538184270912</c:v>
                </c:pt>
                <c:pt idx="28">
                  <c:v>1.7167538184270912</c:v>
                </c:pt>
              </c:numCache>
            </c:numRef>
          </c:yVal>
          <c:smooth val="1"/>
          <c:extLst>
            <c:ext xmlns:c16="http://schemas.microsoft.com/office/drawing/2014/chart" uri="{C3380CC4-5D6E-409C-BE32-E72D297353CC}">
              <c16:uniqueId val="{0000000C-0E19-4BB9-A6D3-97630FC39FE4}"/>
            </c:ext>
          </c:extLst>
        </c:ser>
        <c:ser>
          <c:idx val="10"/>
          <c:order val="10"/>
          <c:tx>
            <c:v>Normal Shock</c:v>
          </c:tx>
          <c:spPr>
            <a:ln w="38100" cap="rnd">
              <a:solidFill>
                <a:srgbClr val="00FF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CF_Plot!$V$9:$V$37</c:f>
              <c:numCache>
                <c:formatCode>General</c:formatCode>
                <c:ptCount val="29"/>
                <c:pt idx="0">
                  <c:v>0.70632843292585712</c:v>
                </c:pt>
                <c:pt idx="1">
                  <c:v>0.54701697535629246</c:v>
                </c:pt>
                <c:pt idx="2">
                  <c:v>0.50376455288658417</c:v>
                </c:pt>
                <c:pt idx="3">
                  <c:v>0.4769486071933402</c:v>
                </c:pt>
                <c:pt idx="4">
                  <c:v>0.45781438083923376</c:v>
                </c:pt>
                <c:pt idx="5">
                  <c:v>0.44315785400189078</c:v>
                </c:pt>
                <c:pt idx="6">
                  <c:v>0.41355664097374556</c:v>
                </c:pt>
                <c:pt idx="7">
                  <c:v>0.40039457079070107</c:v>
                </c:pt>
                <c:pt idx="8">
                  <c:v>0.3643853239941901</c:v>
                </c:pt>
                <c:pt idx="9">
                  <c:v>0.34704975772140645</c:v>
                </c:pt>
                <c:pt idx="10">
                  <c:v>0.31909545584666077</c:v>
                </c:pt>
                <c:pt idx="11">
                  <c:v>0.31264142018023056</c:v>
                </c:pt>
                <c:pt idx="12">
                  <c:v>0.30799112047742461</c:v>
                </c:pt>
                <c:pt idx="13">
                  <c:v>0.30442941065247187</c:v>
                </c:pt>
                <c:pt idx="14">
                  <c:v>0.30293327699230721</c:v>
                </c:pt>
                <c:pt idx="15">
                  <c:v>0.29821399931395898</c:v>
                </c:pt>
                <c:pt idx="16">
                  <c:v>0.29726590785436469</c:v>
                </c:pt>
                <c:pt idx="17">
                  <c:v>0.29057860464399954</c:v>
                </c:pt>
                <c:pt idx="18">
                  <c:v>0.28656967576150039</c:v>
                </c:pt>
                <c:pt idx="19">
                  <c:v>0.28380517078867284</c:v>
                </c:pt>
                <c:pt idx="20">
                  <c:v>0.27879574886561853</c:v>
                </c:pt>
                <c:pt idx="21">
                  <c:v>0.27768876205963777</c:v>
                </c:pt>
                <c:pt idx="22">
                  <c:v>0.27674292785095145</c:v>
                </c:pt>
                <c:pt idx="23">
                  <c:v>0.27674292785095145</c:v>
                </c:pt>
                <c:pt idx="24">
                  <c:v>0.27674292785095145</c:v>
                </c:pt>
                <c:pt idx="25">
                  <c:v>0.27674292785095145</c:v>
                </c:pt>
                <c:pt idx="26">
                  <c:v>0.27674292785095145</c:v>
                </c:pt>
                <c:pt idx="27">
                  <c:v>0.27674292785095145</c:v>
                </c:pt>
                <c:pt idx="28">
                  <c:v>0.27674292785095145</c:v>
                </c:pt>
              </c:numCache>
            </c:numRef>
          </c:yVal>
          <c:smooth val="1"/>
          <c:extLst>
            <c:ext xmlns:c16="http://schemas.microsoft.com/office/drawing/2014/chart" uri="{C3380CC4-5D6E-409C-BE32-E72D297353CC}">
              <c16:uniqueId val="{0000000D-0E19-4BB9-A6D3-97630FC39FE4}"/>
            </c:ext>
          </c:extLst>
        </c:ser>
        <c:dLbls>
          <c:showLegendKey val="0"/>
          <c:showVal val="0"/>
          <c:showCatName val="0"/>
          <c:showSerName val="0"/>
          <c:showPercent val="0"/>
          <c:showBubbleSize val="0"/>
        </c:dLbls>
        <c:axId val="2063149728"/>
        <c:axId val="2063148064"/>
      </c:scatterChart>
      <c:valAx>
        <c:axId val="2063149728"/>
        <c:scaling>
          <c:logBase val="10"/>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 Ratio (Ae/At)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8064"/>
        <c:crosses val="autoZero"/>
        <c:crossBetween val="midCat"/>
      </c:valAx>
      <c:valAx>
        <c:axId val="2063148064"/>
        <c:scaling>
          <c:orientation val="minMax"/>
          <c:max val="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97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13</xdr:row>
      <xdr:rowOff>0</xdr:rowOff>
    </xdr:from>
    <xdr:to>
      <xdr:col>22</xdr:col>
      <xdr:colOff>105795</xdr:colOff>
      <xdr:row>18</xdr:row>
      <xdr:rowOff>171054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44000" y="2476500"/>
          <a:ext cx="4372995" cy="1123554"/>
        </a:xfrm>
        <a:prstGeom prst="rect">
          <a:avLst/>
        </a:prstGeom>
      </xdr:spPr>
    </xdr:pic>
    <xdr:clientData/>
  </xdr:twoCellAnchor>
  <xdr:twoCellAnchor editAs="oneCell">
    <xdr:from>
      <xdr:col>14</xdr:col>
      <xdr:colOff>352425</xdr:colOff>
      <xdr:row>20</xdr:row>
      <xdr:rowOff>85725</xdr:rowOff>
    </xdr:from>
    <xdr:to>
      <xdr:col>24</xdr:col>
      <xdr:colOff>144085</xdr:colOff>
      <xdr:row>40</xdr:row>
      <xdr:rowOff>181600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86825" y="3895725"/>
          <a:ext cx="5887660" cy="3912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116974</xdr:colOff>
      <xdr:row>39</xdr:row>
      <xdr:rowOff>63501</xdr:rowOff>
    </xdr:from>
    <xdr:to>
      <xdr:col>23</xdr:col>
      <xdr:colOff>1258826</xdr:colOff>
      <xdr:row>61</xdr:row>
      <xdr:rowOff>70071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29224" y="7387168"/>
          <a:ext cx="6613435" cy="3964736"/>
        </a:xfrm>
        <a:prstGeom prst="rect">
          <a:avLst/>
        </a:prstGeom>
      </xdr:spPr>
    </xdr:pic>
    <xdr:clientData/>
  </xdr:twoCellAnchor>
  <xdr:twoCellAnchor>
    <xdr:from>
      <xdr:col>2</xdr:col>
      <xdr:colOff>521759</xdr:colOff>
      <xdr:row>38</xdr:row>
      <xdr:rowOff>168275</xdr:rowOff>
    </xdr:from>
    <xdr:to>
      <xdr:col>17</xdr:col>
      <xdr:colOff>10583</xdr:colOff>
      <xdr:row>67</xdr:row>
      <xdr:rowOff>95250</xdr:rowOff>
    </xdr:to>
    <xdr:graphicFrame macro="">
      <xdr:nvGraphicFramePr>
        <xdr:cNvPr id="6" name="Chart 5">
          <a:extLst>
            <a:ext uri="{FF2B5EF4-FFF2-40B4-BE49-F238E27FC236}">
              <a16:creationId xmlns:a16="http://schemas.microsoft.com/office/drawing/2014/main" id="{86B80426-E0E3-5F46-4440-3D744F2537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6"/>
  <sheetViews>
    <sheetView zoomScale="80" zoomScaleNormal="80" workbookViewId="0">
      <selection activeCell="I8" sqref="I8"/>
    </sheetView>
  </sheetViews>
  <sheetFormatPr defaultRowHeight="15" x14ac:dyDescent="0.25"/>
  <sheetData>
    <row r="1" spans="1:16" x14ac:dyDescent="0.25">
      <c r="A1" t="s">
        <v>19</v>
      </c>
      <c r="P1" t="s">
        <v>8</v>
      </c>
    </row>
    <row r="2" spans="1:16" x14ac:dyDescent="0.25">
      <c r="A2" t="s">
        <v>30</v>
      </c>
      <c r="P2" t="s">
        <v>9</v>
      </c>
    </row>
    <row r="3" spans="1:16" x14ac:dyDescent="0.25">
      <c r="A3" t="s">
        <v>7</v>
      </c>
      <c r="K3">
        <v>12</v>
      </c>
      <c r="P3" t="s">
        <v>10</v>
      </c>
    </row>
    <row r="4" spans="1:16" x14ac:dyDescent="0.25">
      <c r="C4" t="s">
        <v>31</v>
      </c>
      <c r="D4">
        <v>0.01</v>
      </c>
      <c r="G4" t="s">
        <v>32</v>
      </c>
      <c r="H4">
        <v>1.2</v>
      </c>
      <c r="K4">
        <v>12</v>
      </c>
      <c r="P4" t="s">
        <v>0</v>
      </c>
    </row>
    <row r="5" spans="1:16" x14ac:dyDescent="0.25">
      <c r="A5" t="s">
        <v>11</v>
      </c>
    </row>
    <row r="6" spans="1:16" x14ac:dyDescent="0.25">
      <c r="B6" t="s">
        <v>12</v>
      </c>
      <c r="C6" t="s">
        <v>12</v>
      </c>
      <c r="D6" t="s">
        <v>13</v>
      </c>
      <c r="E6" t="s">
        <v>13</v>
      </c>
      <c r="G6">
        <v>2</v>
      </c>
      <c r="H6">
        <v>4</v>
      </c>
      <c r="I6">
        <v>10</v>
      </c>
      <c r="J6">
        <v>25</v>
      </c>
      <c r="K6">
        <v>75</v>
      </c>
      <c r="L6">
        <v>150</v>
      </c>
      <c r="M6">
        <v>500</v>
      </c>
      <c r="N6">
        <v>1000</v>
      </c>
      <c r="O6">
        <v>10000000000</v>
      </c>
      <c r="P6" t="s">
        <v>1</v>
      </c>
    </row>
    <row r="7" spans="1:16" x14ac:dyDescent="0.25">
      <c r="A7" t="s">
        <v>14</v>
      </c>
      <c r="B7" t="s">
        <v>15</v>
      </c>
      <c r="C7" t="s">
        <v>33</v>
      </c>
      <c r="D7" t="s">
        <v>16</v>
      </c>
      <c r="E7" t="s">
        <v>33</v>
      </c>
      <c r="F7" t="s">
        <v>14</v>
      </c>
      <c r="G7" t="s">
        <v>17</v>
      </c>
      <c r="H7" t="s">
        <v>17</v>
      </c>
      <c r="I7" t="s">
        <v>17</v>
      </c>
      <c r="J7" t="s">
        <v>17</v>
      </c>
      <c r="K7" t="s">
        <v>17</v>
      </c>
      <c r="L7" t="s">
        <v>17</v>
      </c>
      <c r="M7" t="s">
        <v>17</v>
      </c>
      <c r="N7" t="s">
        <v>17</v>
      </c>
      <c r="O7" t="s">
        <v>17</v>
      </c>
      <c r="P7" t="s">
        <v>2</v>
      </c>
    </row>
    <row r="8" spans="1:16" x14ac:dyDescent="0.25">
      <c r="A8">
        <v>1</v>
      </c>
      <c r="B8">
        <v>1.000000027</v>
      </c>
      <c r="D8">
        <v>0.99999996999999996</v>
      </c>
      <c r="F8">
        <v>1</v>
      </c>
      <c r="H8" t="s">
        <v>7</v>
      </c>
      <c r="P8" t="s">
        <v>3</v>
      </c>
    </row>
    <row r="9" spans="1:16" x14ac:dyDescent="0.25">
      <c r="A9">
        <v>1.1000000000000001</v>
      </c>
      <c r="B9">
        <v>1.3476925280000001</v>
      </c>
      <c r="D9">
        <v>0.70038054500000002</v>
      </c>
      <c r="F9">
        <v>1.1000000000000001</v>
      </c>
      <c r="P9" t="s">
        <v>4</v>
      </c>
    </row>
    <row r="10" spans="1:16" x14ac:dyDescent="0.25">
      <c r="A10">
        <v>1.2</v>
      </c>
      <c r="B10">
        <v>1.4938240279999999</v>
      </c>
      <c r="D10">
        <v>0.59885377500000003</v>
      </c>
      <c r="F10">
        <v>1.2</v>
      </c>
      <c r="P10" t="s">
        <v>5</v>
      </c>
    </row>
    <row r="11" spans="1:16" x14ac:dyDescent="0.25">
      <c r="A11">
        <v>1.3</v>
      </c>
      <c r="B11">
        <v>1.603788599</v>
      </c>
      <c r="D11">
        <v>0.53051035700000004</v>
      </c>
      <c r="F11">
        <v>1.3</v>
      </c>
      <c r="P11" t="s">
        <v>6</v>
      </c>
    </row>
    <row r="12" spans="1:16" x14ac:dyDescent="0.25">
      <c r="A12">
        <v>1.4</v>
      </c>
      <c r="B12">
        <v>1.694232921</v>
      </c>
      <c r="D12">
        <v>0.47909100300000002</v>
      </c>
      <c r="F12">
        <v>1.4</v>
      </c>
      <c r="P12" t="s">
        <v>18</v>
      </c>
    </row>
    <row r="13" spans="1:16" x14ac:dyDescent="0.25">
      <c r="A13">
        <v>1.5</v>
      </c>
      <c r="B13">
        <v>1.7718575510000001</v>
      </c>
      <c r="D13">
        <v>0.43821004299999999</v>
      </c>
      <c r="F13">
        <v>1.5</v>
      </c>
    </row>
    <row r="14" spans="1:16" x14ac:dyDescent="0.25">
      <c r="A14">
        <v>1.8</v>
      </c>
      <c r="B14">
        <v>1.957059874</v>
      </c>
      <c r="D14">
        <v>0.35194302700000002</v>
      </c>
      <c r="F14">
        <v>1.8</v>
      </c>
    </row>
    <row r="15" spans="1:16" x14ac:dyDescent="0.25">
      <c r="A15">
        <v>2</v>
      </c>
      <c r="B15">
        <v>2.0550955009999998</v>
      </c>
      <c r="D15">
        <v>0.31223716499999998</v>
      </c>
      <c r="F15">
        <v>2</v>
      </c>
    </row>
    <row r="16" spans="1:16" x14ac:dyDescent="0.25">
      <c r="A16">
        <v>3</v>
      </c>
      <c r="B16">
        <v>2.397131871</v>
      </c>
      <c r="D16">
        <v>0.20180257600000001</v>
      </c>
      <c r="F16">
        <v>3</v>
      </c>
    </row>
    <row r="17" spans="1:6" x14ac:dyDescent="0.25">
      <c r="A17">
        <v>4</v>
      </c>
      <c r="B17">
        <v>2.6194467769999998</v>
      </c>
      <c r="D17">
        <v>0.149843325</v>
      </c>
      <c r="F17">
        <v>4</v>
      </c>
    </row>
    <row r="18" spans="1:6" x14ac:dyDescent="0.25">
      <c r="A18">
        <v>8</v>
      </c>
      <c r="B18">
        <v>3.121903423</v>
      </c>
      <c r="D18">
        <v>7.4227690999999998E-2</v>
      </c>
      <c r="F18">
        <v>8</v>
      </c>
    </row>
    <row r="19" spans="1:6" x14ac:dyDescent="0.25">
      <c r="A19">
        <v>10</v>
      </c>
      <c r="B19">
        <v>3.2783407929999999</v>
      </c>
      <c r="D19">
        <v>5.9317184000000002E-2</v>
      </c>
      <c r="F19">
        <v>10</v>
      </c>
    </row>
    <row r="20" spans="1:6" x14ac:dyDescent="0.25">
      <c r="A20">
        <v>12</v>
      </c>
      <c r="B20">
        <v>3.4051970960000002</v>
      </c>
      <c r="D20">
        <v>4.9401697000000001E-2</v>
      </c>
      <c r="F20">
        <v>12</v>
      </c>
    </row>
    <row r="21" spans="1:6" x14ac:dyDescent="0.25">
      <c r="A21">
        <v>14</v>
      </c>
      <c r="B21">
        <v>3.5120176810000001</v>
      </c>
      <c r="D21">
        <v>4.2329208E-2</v>
      </c>
      <c r="F21">
        <v>14</v>
      </c>
    </row>
    <row r="22" spans="1:6" x14ac:dyDescent="0.25">
      <c r="A22">
        <v>15</v>
      </c>
      <c r="B22">
        <v>3.5597426799999998</v>
      </c>
      <c r="D22">
        <v>3.9502234999999997E-2</v>
      </c>
      <c r="F22">
        <v>15</v>
      </c>
    </row>
    <row r="23" spans="1:6" x14ac:dyDescent="0.25">
      <c r="A23">
        <v>19</v>
      </c>
      <c r="B23">
        <v>3.7230731779999999</v>
      </c>
      <c r="D23">
        <v>3.1175884000000001E-2</v>
      </c>
      <c r="F23">
        <v>19</v>
      </c>
    </row>
    <row r="24" spans="1:6" x14ac:dyDescent="0.25">
      <c r="A24">
        <v>20</v>
      </c>
      <c r="B24">
        <v>3.7585049869999998</v>
      </c>
      <c r="D24">
        <v>2.9615545E-2</v>
      </c>
      <c r="F24">
        <v>20</v>
      </c>
    </row>
    <row r="25" spans="1:6" x14ac:dyDescent="0.25">
      <c r="A25">
        <v>30</v>
      </c>
      <c r="B25">
        <v>4.0391127759999996</v>
      </c>
      <c r="D25">
        <v>1.9738404000000001E-2</v>
      </c>
      <c r="F25">
        <v>30</v>
      </c>
    </row>
    <row r="26" spans="1:6" x14ac:dyDescent="0.25">
      <c r="A26">
        <v>40</v>
      </c>
      <c r="B26">
        <v>4.2394016829999996</v>
      </c>
      <c r="D26">
        <v>1.4802414999999999E-2</v>
      </c>
      <c r="F26">
        <v>40</v>
      </c>
    </row>
    <row r="27" spans="1:6" x14ac:dyDescent="0.25">
      <c r="A27">
        <v>50</v>
      </c>
      <c r="B27">
        <v>4.3958272129999996</v>
      </c>
      <c r="D27">
        <v>1.1841417999999999E-2</v>
      </c>
      <c r="F27">
        <v>50</v>
      </c>
    </row>
    <row r="28" spans="1:6" x14ac:dyDescent="0.25">
      <c r="A28">
        <v>80</v>
      </c>
      <c r="B28">
        <v>4.7293600500000004</v>
      </c>
      <c r="D28">
        <v>7.4005390000000002E-3</v>
      </c>
      <c r="F28">
        <v>80</v>
      </c>
    </row>
    <row r="29" spans="1:6" x14ac:dyDescent="0.25">
      <c r="A29">
        <v>90</v>
      </c>
      <c r="B29">
        <v>4.8139624039999998</v>
      </c>
      <c r="D29">
        <v>6.5782150000000001E-3</v>
      </c>
      <c r="F29">
        <v>90</v>
      </c>
    </row>
    <row r="30" spans="1:6" x14ac:dyDescent="0.25">
      <c r="A30">
        <v>100</v>
      </c>
      <c r="B30">
        <v>4.8900297720000001</v>
      </c>
      <c r="D30">
        <v>5.9203670000000002E-3</v>
      </c>
      <c r="F30">
        <v>100</v>
      </c>
    </row>
    <row r="31" spans="1:6" x14ac:dyDescent="0.25">
      <c r="A31">
        <v>100</v>
      </c>
      <c r="B31">
        <v>4.8900297720000001</v>
      </c>
      <c r="D31">
        <v>5.9203670000000002E-3</v>
      </c>
      <c r="F31">
        <v>100</v>
      </c>
    </row>
    <row r="32" spans="1:6" x14ac:dyDescent="0.25">
      <c r="A32">
        <v>100</v>
      </c>
      <c r="B32">
        <v>4.8900297720000001</v>
      </c>
      <c r="D32">
        <v>5.9203670000000002E-3</v>
      </c>
      <c r="F32">
        <v>100</v>
      </c>
    </row>
    <row r="33" spans="1:6" x14ac:dyDescent="0.25">
      <c r="A33">
        <v>100</v>
      </c>
      <c r="B33">
        <v>4.8900297720000001</v>
      </c>
      <c r="D33">
        <v>5.9203670000000002E-3</v>
      </c>
      <c r="F33">
        <v>100</v>
      </c>
    </row>
    <row r="34" spans="1:6" x14ac:dyDescent="0.25">
      <c r="A34">
        <v>100</v>
      </c>
      <c r="B34">
        <v>4.8900297720000001</v>
      </c>
      <c r="D34">
        <v>5.9203670000000002E-3</v>
      </c>
      <c r="F34">
        <v>100</v>
      </c>
    </row>
    <row r="35" spans="1:6" x14ac:dyDescent="0.25">
      <c r="A35">
        <v>100</v>
      </c>
      <c r="B35">
        <v>4.8900297720000001</v>
      </c>
      <c r="D35">
        <v>5.9203670000000002E-3</v>
      </c>
      <c r="F35">
        <v>100</v>
      </c>
    </row>
    <row r="36" spans="1:6" x14ac:dyDescent="0.25">
      <c r="A36">
        <v>100</v>
      </c>
      <c r="B36">
        <v>4.8900297720000001</v>
      </c>
      <c r="D36">
        <v>5.9203670000000002E-3</v>
      </c>
      <c r="F36">
        <v>100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37"/>
  <sheetViews>
    <sheetView tabSelected="1" zoomScale="90" zoomScaleNormal="90" workbookViewId="0">
      <selection activeCell="E17" sqref="E17"/>
    </sheetView>
  </sheetViews>
  <sheetFormatPr defaultRowHeight="15" x14ac:dyDescent="0.25"/>
  <cols>
    <col min="3" max="3" width="7.85546875" bestFit="1" customWidth="1"/>
    <col min="4" max="4" width="5.85546875" bestFit="1" customWidth="1"/>
    <col min="5" max="8" width="7.85546875" bestFit="1" customWidth="1"/>
    <col min="9" max="9" width="9.7109375" bestFit="1" customWidth="1"/>
    <col min="10" max="12" width="7.85546875" bestFit="1" customWidth="1"/>
    <col min="13" max="13" width="15.85546875" bestFit="1" customWidth="1"/>
    <col min="14" max="14" width="11.28515625" customWidth="1"/>
    <col min="15" max="15" width="7.42578125" customWidth="1"/>
    <col min="16" max="16" width="7.28515625" customWidth="1"/>
    <col min="17" max="17" width="9.85546875" bestFit="1" customWidth="1"/>
    <col min="20" max="20" width="9.5703125" bestFit="1" customWidth="1"/>
    <col min="21" max="21" width="12.28515625" bestFit="1" customWidth="1"/>
    <col min="22" max="22" width="12.85546875" bestFit="1" customWidth="1"/>
    <col min="24" max="24" width="80.42578125" bestFit="1" customWidth="1"/>
  </cols>
  <sheetData>
    <row r="1" spans="1:24" x14ac:dyDescent="0.25">
      <c r="A1" s="30" t="s">
        <v>39</v>
      </c>
      <c r="B1" s="30"/>
      <c r="C1" s="30"/>
      <c r="D1" s="30"/>
      <c r="E1" s="30"/>
      <c r="F1" s="30"/>
      <c r="G1" s="30"/>
      <c r="H1" s="30"/>
      <c r="I1" s="30"/>
      <c r="J1" s="30"/>
    </row>
    <row r="2" spans="1:24" x14ac:dyDescent="0.25">
      <c r="A2" s="31" t="s">
        <v>19</v>
      </c>
      <c r="B2" s="31"/>
      <c r="C2" s="31"/>
      <c r="D2" s="31"/>
      <c r="E2" s="31"/>
      <c r="F2" s="31"/>
      <c r="G2" s="31"/>
      <c r="H2" s="31"/>
      <c r="I2" s="31"/>
      <c r="J2" s="31"/>
      <c r="X2" s="1" t="s">
        <v>8</v>
      </c>
    </row>
    <row r="3" spans="1:24" x14ac:dyDescent="0.25">
      <c r="A3" s="31" t="s">
        <v>29</v>
      </c>
      <c r="B3" s="31"/>
      <c r="C3" s="31"/>
      <c r="D3" s="31"/>
      <c r="E3" s="31"/>
      <c r="F3" s="31"/>
      <c r="G3" s="31"/>
      <c r="H3" s="31"/>
      <c r="I3" s="31"/>
      <c r="J3" s="31"/>
      <c r="X3" s="2" t="s">
        <v>9</v>
      </c>
    </row>
    <row r="4" spans="1:24" ht="15.75" thickBot="1" x14ac:dyDescent="0.3">
      <c r="A4" s="31" t="s">
        <v>7</v>
      </c>
      <c r="B4" s="31"/>
      <c r="C4" s="31"/>
      <c r="D4" s="31"/>
      <c r="E4" s="32"/>
      <c r="I4" t="str">
        <f>Bob_58</f>
        <v xml:space="preserve"> </v>
      </c>
      <c r="M4" t="s">
        <v>28</v>
      </c>
      <c r="X4" s="1" t="s">
        <v>10</v>
      </c>
    </row>
    <row r="5" spans="1:24" ht="24" thickBot="1" x14ac:dyDescent="0.4">
      <c r="C5">
        <v>0.01</v>
      </c>
      <c r="E5" s="7" t="s">
        <v>20</v>
      </c>
      <c r="F5" s="18">
        <v>1.29</v>
      </c>
      <c r="I5" t="s">
        <v>7</v>
      </c>
      <c r="M5" t="s">
        <v>25</v>
      </c>
      <c r="N5" s="21" t="s">
        <v>26</v>
      </c>
      <c r="X5" s="3" t="s">
        <v>0</v>
      </c>
    </row>
    <row r="6" spans="1:24" ht="15.75" thickBot="1" x14ac:dyDescent="0.3">
      <c r="A6" s="7" t="s">
        <v>11</v>
      </c>
      <c r="B6" s="7"/>
      <c r="C6" s="7"/>
      <c r="D6" s="7"/>
      <c r="I6" t="s">
        <v>24</v>
      </c>
      <c r="N6" t="s">
        <v>27</v>
      </c>
      <c r="X6" s="4"/>
    </row>
    <row r="7" spans="1:24" ht="15.75" thickBot="1" x14ac:dyDescent="0.3">
      <c r="B7" s="1" t="s">
        <v>12</v>
      </c>
      <c r="C7" s="8" t="s">
        <v>13</v>
      </c>
      <c r="D7" s="13"/>
      <c r="E7" s="15">
        <v>3</v>
      </c>
      <c r="F7" s="9">
        <v>4</v>
      </c>
      <c r="G7" s="9">
        <v>10</v>
      </c>
      <c r="H7" s="9">
        <v>25</v>
      </c>
      <c r="I7" s="9">
        <v>75</v>
      </c>
      <c r="J7" s="9">
        <v>150</v>
      </c>
      <c r="K7" s="9">
        <v>500</v>
      </c>
      <c r="L7" s="9">
        <v>1000</v>
      </c>
      <c r="M7" s="9">
        <v>10000000000</v>
      </c>
      <c r="N7" s="19" t="s">
        <v>21</v>
      </c>
      <c r="O7" s="19" t="s">
        <v>23</v>
      </c>
      <c r="Q7" s="27" t="s">
        <v>35</v>
      </c>
      <c r="R7" s="28" t="s">
        <v>36</v>
      </c>
      <c r="S7" s="33"/>
      <c r="T7" s="28" t="s">
        <v>37</v>
      </c>
      <c r="U7" s="29"/>
      <c r="V7" s="29"/>
      <c r="X7" s="5"/>
    </row>
    <row r="8" spans="1:24" ht="15.75" thickTop="1" x14ac:dyDescent="0.25">
      <c r="A8" s="11" t="s">
        <v>14</v>
      </c>
      <c r="B8" s="12" t="s">
        <v>15</v>
      </c>
      <c r="C8" s="12" t="s">
        <v>16</v>
      </c>
      <c r="D8" s="17" t="s">
        <v>14</v>
      </c>
      <c r="E8" s="16" t="s">
        <v>17</v>
      </c>
      <c r="F8" s="14" t="s">
        <v>17</v>
      </c>
      <c r="G8" s="14" t="s">
        <v>17</v>
      </c>
      <c r="H8" s="14" t="s">
        <v>17</v>
      </c>
      <c r="I8" s="14" t="s">
        <v>17</v>
      </c>
      <c r="J8" s="14" t="s">
        <v>17</v>
      </c>
      <c r="K8" s="14" t="s">
        <v>17</v>
      </c>
      <c r="L8" s="14" t="s">
        <v>17</v>
      </c>
      <c r="M8" s="14" t="s">
        <v>17</v>
      </c>
      <c r="N8" s="20" t="s">
        <v>22</v>
      </c>
      <c r="O8" s="22" t="s">
        <v>23</v>
      </c>
      <c r="Q8" s="20" t="s">
        <v>34</v>
      </c>
      <c r="R8" s="26" t="s">
        <v>33</v>
      </c>
      <c r="S8" s="26" t="s">
        <v>17</v>
      </c>
      <c r="T8" s="26" t="s">
        <v>38</v>
      </c>
      <c r="U8" s="26" t="s">
        <v>33</v>
      </c>
      <c r="V8" s="26" t="s">
        <v>17</v>
      </c>
      <c r="X8" s="6"/>
    </row>
    <row r="9" spans="1:24" x14ac:dyDescent="0.25">
      <c r="A9" s="23">
        <v>1</v>
      </c>
      <c r="B9" s="10">
        <f t="shared" ref="B9:B37" si="0">comissions(gamma_c,A9)</f>
        <v>0.99999998532582479</v>
      </c>
      <c r="C9" s="25">
        <f t="shared" ref="C9:C37" si="1">Comissions2(gamma_c,A9,M_G)</f>
        <v>0.99999998741310847</v>
      </c>
      <c r="D9" s="10">
        <f>A9</f>
        <v>1</v>
      </c>
      <c r="E9" s="24">
        <f>IF(cf(gamma_c,$A9,E$7)&lt;0,0,cf(gamma_c,$A9,E$7))</f>
        <v>0.92053650439584378</v>
      </c>
      <c r="F9" s="24">
        <f>IF(cf(gamma_c,$A9,F$7)&lt;0,0,cf(gamma_c,$A9,F$7))</f>
        <v>1.003869837729177</v>
      </c>
      <c r="G9" s="24">
        <f>IF(cf(gamma_c,$A9,G$7)&lt;0,0,cf(gamma_c,$A9,G$7))</f>
        <v>1.1538698377291772</v>
      </c>
      <c r="H9" s="24">
        <f>IF(cf(gamma_c,$A9,H$7)&lt;0,0,cf(gamma_c,$A9,H$7))</f>
        <v>1.213869837729177</v>
      </c>
      <c r="I9" s="24">
        <f>IF(cf(gamma_c,$A9,I$7)&lt;0,0,cf(gamma_c,$A9,I$7))</f>
        <v>1.2405365043958438</v>
      </c>
      <c r="J9" s="24">
        <f>IF(cf(gamma_c,$A9,J$7)&lt;0,0,cf(gamma_c,$A9,J$7))</f>
        <v>1.2472031710625104</v>
      </c>
      <c r="K9" s="24">
        <f>IF(cf(gamma_c,$A9,K$7)&lt;0,0,cf(gamma_c,$A9,K$7))</f>
        <v>1.2518698377291773</v>
      </c>
      <c r="L9" s="24">
        <f>IF(cf(gamma_c,$A9,L$7)&lt;0,0,cf(gamma_c,$A9,L$7))</f>
        <v>1.2528698377291771</v>
      </c>
      <c r="M9" s="24">
        <f>IF(cf(gamma_c,$A9,M$7)&lt;0,0,cf(gamma_c,$A9,M$7))</f>
        <v>1.253869837629177</v>
      </c>
      <c r="N9" s="24">
        <f t="shared" ref="N9:N37" si="2">CF_OPT(gamma_c,A9)</f>
        <v>0.7063284148214255</v>
      </c>
      <c r="O9" s="24">
        <f>-0.0445*(LN(A9))^2+0.5324*LN(A9)+0.1843</f>
        <v>0.18429999999999999</v>
      </c>
      <c r="Q9">
        <f t="shared" ref="Q9:Q37" si="3">(1+B9^2*(gamma_c-1)/2)^(gamma_c/(gamma_c-1))</f>
        <v>1.8263458400817234</v>
      </c>
      <c r="R9">
        <f>Q9/3</f>
        <v>0.60878194669390784</v>
      </c>
      <c r="S9" cm="1">
        <f t="array" ref="S9">cf(gamma_c,A9,R9)</f>
        <v>-0.38875443099407803</v>
      </c>
      <c r="T9">
        <f t="shared" ref="T9:T37" si="4">1/(((B9^2*2*gamma_c)/(gamma_c+1)) - (gamma_c-1)/(gamma_c+1))</f>
        <v>1.0000000330649546</v>
      </c>
      <c r="U9">
        <f>Q9*T9</f>
        <v>1.8263459004697655</v>
      </c>
      <c r="V9" cm="1">
        <f t="array" ref="V9">cf(gamma_c,A9,U9)</f>
        <v>0.70632843292585712</v>
      </c>
      <c r="X9" s="6"/>
    </row>
    <row r="10" spans="1:24" x14ac:dyDescent="0.25">
      <c r="A10" s="23">
        <v>1.1000000000000001</v>
      </c>
      <c r="B10" s="10">
        <f t="shared" si="0"/>
        <v>1.3586377313553912</v>
      </c>
      <c r="C10" s="25">
        <f t="shared" si="1"/>
        <v>0.69672678409093902</v>
      </c>
      <c r="D10" s="10">
        <f t="shared" ref="D10:D37" si="5">A10</f>
        <v>1.1000000000000001</v>
      </c>
      <c r="E10" s="24">
        <f>IF(cf(gamma_c,$A10,E$7)&lt;0,0,cf(gamma_c,$A10,E$7))</f>
        <v>0.92838531435240834</v>
      </c>
      <c r="F10" s="24">
        <f>IF(cf(gamma_c,$A10,F$7)&lt;0,0,cf(gamma_c,$A10,F$7))</f>
        <v>1.0200519810190749</v>
      </c>
      <c r="G10" s="24">
        <f>IF(cf(gamma_c,$A10,G$7)&lt;0,0,cf(gamma_c,$A10,G$7))</f>
        <v>1.1850519810190749</v>
      </c>
      <c r="H10" s="24">
        <f>IF(cf(gamma_c,$A10,H$7)&lt;0,0,cf(gamma_c,$A10,H$7))</f>
        <v>1.251051981019075</v>
      </c>
      <c r="I10" s="24">
        <f>IF(cf(gamma_c,$A10,I$7)&lt;0,0,cf(gamma_c,$A10,I$7))</f>
        <v>1.2803853143524084</v>
      </c>
      <c r="J10" s="24">
        <f>IF(cf(gamma_c,$A10,J$7)&lt;0,0,cf(gamma_c,$A10,J$7))</f>
        <v>1.2877186476857416</v>
      </c>
      <c r="K10" s="24">
        <f>IF(cf(gamma_c,$A10,K$7)&lt;0,0,cf(gamma_c,$A10,K$7))</f>
        <v>1.2928519810190751</v>
      </c>
      <c r="L10" s="24">
        <f>IF(cf(gamma_c,$A10,L$7)&lt;0,0,cf(gamma_c,$A10,L$7))</f>
        <v>1.2939519810190749</v>
      </c>
      <c r="M10" s="24">
        <f>IF(cf(gamma_c,$A10,M$7)&lt;0,0,cf(gamma_c,$A10,M$7))</f>
        <v>1.295051980909075</v>
      </c>
      <c r="N10" s="24">
        <f t="shared" si="2"/>
        <v>0.91203722159969647</v>
      </c>
      <c r="O10" s="24">
        <f t="shared" ref="O10:O37" si="6">-0.0445*(LN(A10))^2+0.5324*LN(A10)+0.1843</f>
        <v>0.23463890037616478</v>
      </c>
      <c r="Q10">
        <f t="shared" si="3"/>
        <v>2.8719519886583926</v>
      </c>
      <c r="R10">
        <f t="shared" ref="R10:R37" si="7">Q10/3</f>
        <v>0.95731732955279758</v>
      </c>
      <c r="S10" cm="1">
        <f t="array" ref="S10">cf(gamma_c,A10,R10)</f>
        <v>0.14600770276093955</v>
      </c>
      <c r="T10">
        <f t="shared" si="4"/>
        <v>0.51202785500661885</v>
      </c>
      <c r="U10">
        <f t="shared" ref="U10:U37" si="8">Q10*T10</f>
        <v>1.4705194164347501</v>
      </c>
      <c r="V10" cm="1">
        <f t="array" ref="V10">cf(gamma_c,A10,U10)</f>
        <v>0.54701697535629246</v>
      </c>
      <c r="X10" s="6"/>
    </row>
    <row r="11" spans="1:24" x14ac:dyDescent="0.25">
      <c r="A11" s="23">
        <v>1.2</v>
      </c>
      <c r="B11" s="10">
        <f t="shared" si="0"/>
        <v>1.5119705252733389</v>
      </c>
      <c r="C11" s="25">
        <f t="shared" si="1"/>
        <v>0.59490906837260649</v>
      </c>
      <c r="D11" s="10">
        <f t="shared" si="5"/>
        <v>1.2</v>
      </c>
      <c r="E11" s="24">
        <f>IF(cf(gamma_c,$A11,E$7)&lt;0,0,cf(gamma_c,$A11,E$7))</f>
        <v>0.92616548436723312</v>
      </c>
      <c r="F11" s="24">
        <f>IF(cf(gamma_c,$A11,F$7)&lt;0,0,cf(gamma_c,$A11,F$7))</f>
        <v>1.0261654843672332</v>
      </c>
      <c r="G11" s="24">
        <f>IF(cf(gamma_c,$A11,G$7)&lt;0,0,cf(gamma_c,$A11,G$7))</f>
        <v>1.2061654843672331</v>
      </c>
      <c r="H11" s="24">
        <f>IF(cf(gamma_c,$A11,H$7)&lt;0,0,cf(gamma_c,$A11,H$7))</f>
        <v>1.278165484367233</v>
      </c>
      <c r="I11" s="24">
        <f>IF(cf(gamma_c,$A11,I$7)&lt;0,0,cf(gamma_c,$A11,I$7))</f>
        <v>1.310165484367233</v>
      </c>
      <c r="J11" s="24">
        <f>IF(cf(gamma_c,$A11,J$7)&lt;0,0,cf(gamma_c,$A11,J$7))</f>
        <v>1.318165484367233</v>
      </c>
      <c r="K11" s="24">
        <f>IF(cf(gamma_c,$A11,K$7)&lt;0,0,cf(gamma_c,$A11,K$7))</f>
        <v>1.3237654843672331</v>
      </c>
      <c r="L11" s="24">
        <f>IF(cf(gamma_c,$A11,L$7)&lt;0,0,cf(gamma_c,$A11,L$7))</f>
        <v>1.3249654843672332</v>
      </c>
      <c r="M11" s="24">
        <f>IF(cf(gamma_c,$A11,M$7)&lt;0,0,cf(gamma_c,$A11,M$7))</f>
        <v>1.326165484247233</v>
      </c>
      <c r="N11" s="24">
        <f t="shared" si="2"/>
        <v>0.99034328539615069</v>
      </c>
      <c r="O11" s="24">
        <f t="shared" si="6"/>
        <v>0.27988876565890758</v>
      </c>
      <c r="Q11">
        <f t="shared" si="3"/>
        <v>3.5733194639206438</v>
      </c>
      <c r="R11">
        <f t="shared" si="7"/>
        <v>1.191106487973548</v>
      </c>
      <c r="S11" cm="1">
        <f t="array" ref="S11">cf(gamma_c,A11,R11)</f>
        <v>0.318698887453986</v>
      </c>
      <c r="T11">
        <f t="shared" si="4"/>
        <v>0.40834365102975845</v>
      </c>
      <c r="U11">
        <f t="shared" si="8"/>
        <v>1.459142316193055</v>
      </c>
      <c r="V11" cm="1">
        <f t="array" ref="V11">cf(gamma_c,A11,U11)</f>
        <v>0.50376455288658417</v>
      </c>
      <c r="X11" s="6"/>
    </row>
    <row r="12" spans="1:24" x14ac:dyDescent="0.25">
      <c r="A12" s="23">
        <v>1.3</v>
      </c>
      <c r="B12" s="10">
        <f t="shared" si="0"/>
        <v>1.6284876668843782</v>
      </c>
      <c r="C12" s="25">
        <f t="shared" si="1"/>
        <v>0.52658843176597747</v>
      </c>
      <c r="D12" s="10">
        <f t="shared" si="5"/>
        <v>1.3</v>
      </c>
      <c r="E12" s="24">
        <f>IF(cf(gamma_c,$A12,E$7)&lt;0,0,cf(gamma_c,$A12,E$7))</f>
        <v>0.91845271418153951</v>
      </c>
      <c r="F12" s="24">
        <f>IF(cf(gamma_c,$A12,F$7)&lt;0,0,cf(gamma_c,$A12,F$7))</f>
        <v>1.0267860475148729</v>
      </c>
      <c r="G12" s="24">
        <f>IF(cf(gamma_c,$A12,G$7)&lt;0,0,cf(gamma_c,$A12,G$7))</f>
        <v>1.2217860475148727</v>
      </c>
      <c r="H12" s="24">
        <f>IF(cf(gamma_c,$A12,H$7)&lt;0,0,cf(gamma_c,$A12,H$7))</f>
        <v>1.2997860475148728</v>
      </c>
      <c r="I12" s="24">
        <f>IF(cf(gamma_c,$A12,I$7)&lt;0,0,cf(gamma_c,$A12,I$7))</f>
        <v>1.3344527141815394</v>
      </c>
      <c r="J12" s="24">
        <f>IF(cf(gamma_c,$A12,J$7)&lt;0,0,cf(gamma_c,$A12,J$7))</f>
        <v>1.3431193808482063</v>
      </c>
      <c r="K12" s="24">
        <f>IF(cf(gamma_c,$A12,K$7)&lt;0,0,cf(gamma_c,$A12,K$7))</f>
        <v>1.3491860475148729</v>
      </c>
      <c r="L12" s="24">
        <f>IF(cf(gamma_c,$A12,L$7)&lt;0,0,cf(gamma_c,$A12,L$7))</f>
        <v>1.350486047514873</v>
      </c>
      <c r="M12" s="24">
        <f>IF(cf(gamma_c,$A12,M$7)&lt;0,0,cf(gamma_c,$A12,M$7))</f>
        <v>1.3517860473848728</v>
      </c>
      <c r="N12" s="24">
        <f t="shared" si="2"/>
        <v>1.0460243197011463</v>
      </c>
      <c r="O12" s="24">
        <f t="shared" si="6"/>
        <v>0.3209195765789965</v>
      </c>
      <c r="Q12">
        <f t="shared" si="3"/>
        <v>4.2516766545483886</v>
      </c>
      <c r="R12">
        <f t="shared" si="7"/>
        <v>1.4172255515161296</v>
      </c>
      <c r="S12" cm="1">
        <f t="array" ref="S12">cf(gamma_c,A12,R12)</f>
        <v>0.43450086407369315</v>
      </c>
      <c r="T12">
        <f t="shared" si="4"/>
        <v>0.34950690690758351</v>
      </c>
      <c r="U12">
        <f t="shared" si="8"/>
        <v>1.4859903567023898</v>
      </c>
      <c r="V12" cm="1">
        <f t="array" ref="V12">cf(gamma_c,A12,U12)</f>
        <v>0.4769486071933402</v>
      </c>
      <c r="X12" s="6"/>
    </row>
    <row r="13" spans="1:24" x14ac:dyDescent="0.25">
      <c r="A13" s="23">
        <v>1.4</v>
      </c>
      <c r="B13" s="10">
        <f t="shared" si="0"/>
        <v>1.7250902460372446</v>
      </c>
      <c r="C13" s="25">
        <f t="shared" si="1"/>
        <v>0.47528883340555544</v>
      </c>
      <c r="D13" s="10">
        <f t="shared" si="5"/>
        <v>1.4</v>
      </c>
      <c r="E13" s="24">
        <f>IF(cf(gamma_c,$A13,E$7)&lt;0,0,cf(gamma_c,$A13,E$7))</f>
        <v>0.90694012772591714</v>
      </c>
      <c r="F13" s="24">
        <f>IF(cf(gamma_c,$A13,F$7)&lt;0,0,cf(gamma_c,$A13,F$7))</f>
        <v>1.0236067943925837</v>
      </c>
      <c r="G13" s="24">
        <f>IF(cf(gamma_c,$A13,G$7)&lt;0,0,cf(gamma_c,$A13,G$7))</f>
        <v>1.2336067943925837</v>
      </c>
      <c r="H13" s="24">
        <f>IF(cf(gamma_c,$A13,H$7)&lt;0,0,cf(gamma_c,$A13,H$7))</f>
        <v>1.3176067943925838</v>
      </c>
      <c r="I13" s="24">
        <f>IF(cf(gamma_c,$A13,I$7)&lt;0,0,cf(gamma_c,$A13,I$7))</f>
        <v>1.354940127725917</v>
      </c>
      <c r="J13" s="24">
        <f>IF(cf(gamma_c,$A13,J$7)&lt;0,0,cf(gamma_c,$A13,J$7))</f>
        <v>1.3642734610592504</v>
      </c>
      <c r="K13" s="24">
        <f>IF(cf(gamma_c,$A13,K$7)&lt;0,0,cf(gamma_c,$A13,K$7))</f>
        <v>1.3708067943925837</v>
      </c>
      <c r="L13" s="24">
        <f>IF(cf(gamma_c,$A13,L$7)&lt;0,0,cf(gamma_c,$A13,L$7))</f>
        <v>1.3722067943925838</v>
      </c>
      <c r="M13" s="24">
        <f>IF(cf(gamma_c,$A13,M$7)&lt;0,0,cf(gamma_c,$A13,M$7))</f>
        <v>1.3736067942525838</v>
      </c>
      <c r="N13" s="24">
        <f t="shared" si="2"/>
        <v>1.0897426189567774</v>
      </c>
      <c r="O13" s="24">
        <f t="shared" si="6"/>
        <v>0.35839981508938251</v>
      </c>
      <c r="Q13">
        <f t="shared" si="3"/>
        <v>4.9319361904355512</v>
      </c>
      <c r="R13">
        <f t="shared" si="7"/>
        <v>1.6439787301451838</v>
      </c>
      <c r="S13" cm="1">
        <f t="array" ref="S13">cf(gamma_c,A13,R13)</f>
        <v>0.5220142680851646</v>
      </c>
      <c r="T13">
        <f t="shared" si="4"/>
        <v>0.30996563329716831</v>
      </c>
      <c r="U13">
        <f t="shared" si="8"/>
        <v>1.5287307246495794</v>
      </c>
      <c r="V13" cm="1">
        <f t="array" ref="V13">cf(gamma_c,A13,U13)</f>
        <v>0.45781438083923376</v>
      </c>
      <c r="X13" s="6"/>
    </row>
    <row r="14" spans="1:24" x14ac:dyDescent="0.25">
      <c r="A14" s="23">
        <v>1.5</v>
      </c>
      <c r="B14" s="10">
        <f t="shared" si="0"/>
        <v>1.8085747325077777</v>
      </c>
      <c r="C14" s="25">
        <f t="shared" si="1"/>
        <v>0.43455992323288573</v>
      </c>
      <c r="D14" s="10">
        <f t="shared" si="5"/>
        <v>1.5</v>
      </c>
      <c r="E14" s="24">
        <f>IF(cf(gamma_c,$A14,E$7)&lt;0,0,cf(gamma_c,$A14,E$7))</f>
        <v>0.89258756588251631</v>
      </c>
      <c r="F14" s="24">
        <f>IF(cf(gamma_c,$A14,F$7)&lt;0,0,cf(gamma_c,$A14,F$7))</f>
        <v>1.0175875658825162</v>
      </c>
      <c r="G14" s="24">
        <f>IF(cf(gamma_c,$A14,G$7)&lt;0,0,cf(gamma_c,$A14,G$7))</f>
        <v>1.2425875658825163</v>
      </c>
      <c r="H14" s="24">
        <f>IF(cf(gamma_c,$A14,H$7)&lt;0,0,cf(gamma_c,$A14,H$7))</f>
        <v>1.3325875658825161</v>
      </c>
      <c r="I14" s="24">
        <f>IF(cf(gamma_c,$A14,I$7)&lt;0,0,cf(gamma_c,$A14,I$7))</f>
        <v>1.3725875658825162</v>
      </c>
      <c r="J14" s="24">
        <f>IF(cf(gamma_c,$A14,J$7)&lt;0,0,cf(gamma_c,$A14,J$7))</f>
        <v>1.3825875658825164</v>
      </c>
      <c r="K14" s="24">
        <f>IF(cf(gamma_c,$A14,K$7)&lt;0,0,cf(gamma_c,$A14,K$7))</f>
        <v>1.3895875658825163</v>
      </c>
      <c r="L14" s="24">
        <f>IF(cf(gamma_c,$A14,L$7)&lt;0,0,cf(gamma_c,$A14,L$7))</f>
        <v>1.3910875658825161</v>
      </c>
      <c r="M14" s="24">
        <f>IF(cf(gamma_c,$A14,M$7)&lt;0,0,cf(gamma_c,$A14,M$7))</f>
        <v>1.3925875657325162</v>
      </c>
      <c r="N14" s="24">
        <f t="shared" si="2"/>
        <v>1.125783595769678</v>
      </c>
      <c r="O14" s="24">
        <f t="shared" si="6"/>
        <v>0.39285373660854084</v>
      </c>
      <c r="Q14">
        <f t="shared" si="3"/>
        <v>5.6221052459062415</v>
      </c>
      <c r="R14">
        <f t="shared" si="7"/>
        <v>1.8740350819687472</v>
      </c>
      <c r="S14" cm="1">
        <f t="array" ref="S14">cf(gamma_c,A14,R14)</f>
        <v>0.59217565554400153</v>
      </c>
      <c r="T14">
        <f t="shared" si="4"/>
        <v>0.28101497854365048</v>
      </c>
      <c r="U14">
        <f t="shared" si="8"/>
        <v>1.5798957850484874</v>
      </c>
      <c r="V14" cm="1">
        <f t="array" ref="V14">cf(gamma_c,A14,U14)</f>
        <v>0.44315785400189078</v>
      </c>
    </row>
    <row r="15" spans="1:24" x14ac:dyDescent="0.25">
      <c r="A15" s="23">
        <v>1.8</v>
      </c>
      <c r="B15" s="10">
        <f t="shared" si="0"/>
        <v>2.0099932159113965</v>
      </c>
      <c r="C15" s="25">
        <f t="shared" si="1"/>
        <v>0.34875919216365264</v>
      </c>
      <c r="D15" s="10">
        <f t="shared" si="5"/>
        <v>1.8</v>
      </c>
      <c r="E15" s="24">
        <f>IF(cf(gamma_c,$A15,E$7)&lt;0,0,cf(gamma_c,$A15,E$7))</f>
        <v>0.83783653521464574</v>
      </c>
      <c r="F15" s="24">
        <f>IF(cf(gamma_c,$A15,F$7)&lt;0,0,cf(gamma_c,$A15,F$7))</f>
        <v>0.98783653521464576</v>
      </c>
      <c r="G15" s="24">
        <f>IF(cf(gamma_c,$A15,G$7)&lt;0,0,cf(gamma_c,$A15,G$7))</f>
        <v>1.2578365352146457</v>
      </c>
      <c r="H15" s="24">
        <f>IF(cf(gamma_c,$A15,H$7)&lt;0,0,cf(gamma_c,$A15,H$7))</f>
        <v>1.3658365352146458</v>
      </c>
      <c r="I15" s="24">
        <f>IF(cf(gamma_c,$A15,I$7)&lt;0,0,cf(gamma_c,$A15,I$7))</f>
        <v>1.4138365352146458</v>
      </c>
      <c r="J15" s="24">
        <f>IF(cf(gamma_c,$A15,J$7)&lt;0,0,cf(gamma_c,$A15,J$7))</f>
        <v>1.4258365352146458</v>
      </c>
      <c r="K15" s="24">
        <f>IF(cf(gamma_c,$A15,K$7)&lt;0,0,cf(gamma_c,$A15,K$7))</f>
        <v>1.4342365352146458</v>
      </c>
      <c r="L15" s="24">
        <f>IF(cf(gamma_c,$A15,L$7)&lt;0,0,cf(gamma_c,$A15,L$7))</f>
        <v>1.4360365352146458</v>
      </c>
      <c r="M15" s="24">
        <f>IF(cf(gamma_c,$A15,M$7)&lt;0,0,cf(gamma_c,$A15,M$7))</f>
        <v>1.4378365350346458</v>
      </c>
      <c r="N15" s="24">
        <f t="shared" si="2"/>
        <v>1.2063639969536721</v>
      </c>
      <c r="O15" s="24">
        <f t="shared" si="6"/>
        <v>0.48186317462095252</v>
      </c>
      <c r="Q15">
        <f t="shared" si="3"/>
        <v>7.7763004351323541</v>
      </c>
      <c r="R15">
        <f t="shared" si="7"/>
        <v>2.5921001450441179</v>
      </c>
      <c r="S15" cm="1">
        <f t="array" ref="S15">cf(gamma_c,A15,R15)</f>
        <v>0.74341892043172475</v>
      </c>
      <c r="T15">
        <f t="shared" si="4"/>
        <v>0.22598563103937458</v>
      </c>
      <c r="U15">
        <f t="shared" si="8"/>
        <v>1.7573321609851482</v>
      </c>
      <c r="V15" cm="1">
        <f t="array" ref="V15">cf(gamma_c,A15,U15)</f>
        <v>0.41355664097374556</v>
      </c>
    </row>
    <row r="16" spans="1:24" x14ac:dyDescent="0.25">
      <c r="A16" s="23">
        <v>2</v>
      </c>
      <c r="B16" s="10">
        <f t="shared" si="0"/>
        <v>2.1179369916437438</v>
      </c>
      <c r="C16" s="25">
        <f t="shared" si="1"/>
        <v>0.30932574258108031</v>
      </c>
      <c r="D16" s="10">
        <f t="shared" si="5"/>
        <v>2</v>
      </c>
      <c r="E16" s="24">
        <f>IF(cf(gamma_c,$A16,E$7)&lt;0,0,cf(gamma_c,$A16,E$7))</f>
        <v>0.79468624296005097</v>
      </c>
      <c r="F16" s="24">
        <f>IF(cf(gamma_c,$A16,F$7)&lt;0,0,cf(gamma_c,$A16,F$7))</f>
        <v>0.96135290962671749</v>
      </c>
      <c r="G16" s="24">
        <f>IF(cf(gamma_c,$A16,G$7)&lt;0,0,cf(gamma_c,$A16,G$7))</f>
        <v>1.2613529096267175</v>
      </c>
      <c r="H16" s="24">
        <f>IF(cf(gamma_c,$A16,H$7)&lt;0,0,cf(gamma_c,$A16,H$7))</f>
        <v>1.3813529096267176</v>
      </c>
      <c r="I16" s="24">
        <f>IF(cf(gamma_c,$A16,I$7)&lt;0,0,cf(gamma_c,$A16,I$7))</f>
        <v>1.4346862429600509</v>
      </c>
      <c r="J16" s="24">
        <f>IF(cf(gamma_c,$A16,J$7)&lt;0,0,cf(gamma_c,$A16,J$7))</f>
        <v>1.4480195762933843</v>
      </c>
      <c r="K16" s="24">
        <f>IF(cf(gamma_c,$A16,K$7)&lt;0,0,cf(gamma_c,$A16,K$7))</f>
        <v>1.4573529096267175</v>
      </c>
      <c r="L16" s="24">
        <f>IF(cf(gamma_c,$A16,L$7)&lt;0,0,cf(gamma_c,$A16,L$7))</f>
        <v>1.4593529096267175</v>
      </c>
      <c r="M16" s="24">
        <f>IF(cf(gamma_c,$A16,M$7)&lt;0,0,cf(gamma_c,$A16,M$7))</f>
        <v>1.4613529094267175</v>
      </c>
      <c r="N16" s="24">
        <f t="shared" si="2"/>
        <v>1.2460204976970426</v>
      </c>
      <c r="O16" s="24">
        <f t="shared" si="6"/>
        <v>0.5319513998107549</v>
      </c>
      <c r="Q16">
        <f t="shared" si="3"/>
        <v>9.2879654394674986</v>
      </c>
      <c r="R16">
        <f t="shared" si="7"/>
        <v>3.0959884798224997</v>
      </c>
      <c r="S16" cm="1">
        <f t="array" ref="S16">cf(gamma_c,A16,R16)</f>
        <v>0.81535567383769258</v>
      </c>
      <c r="T16">
        <f t="shared" si="4"/>
        <v>0.20296028981299813</v>
      </c>
      <c r="U16">
        <f t="shared" si="8"/>
        <v>1.8850881573674341</v>
      </c>
      <c r="V16" cm="1">
        <f t="array" ref="V16">cf(gamma_c,A16,U16)</f>
        <v>0.40039457079070107</v>
      </c>
    </row>
    <row r="17" spans="1:22" x14ac:dyDescent="0.25">
      <c r="A17" s="23">
        <v>3</v>
      </c>
      <c r="B17" s="10">
        <f t="shared" si="0"/>
        <v>2.5021194003001344</v>
      </c>
      <c r="C17" s="25">
        <f t="shared" si="1"/>
        <v>0.19979991553896584</v>
      </c>
      <c r="D17" s="10">
        <f t="shared" si="5"/>
        <v>3</v>
      </c>
      <c r="E17" s="34">
        <f>IF(cf(gamma_c,$A17,E$7)&lt;0,0,cf(gamma_c,$A17,E$7))</f>
        <v>0.53868466086081046</v>
      </c>
      <c r="F17" s="24">
        <f>IF(cf(gamma_c,$A17,F$7)&lt;0,0,cf(gamma_c,$A17,F$7))</f>
        <v>0.78868466086081046</v>
      </c>
      <c r="G17" s="24">
        <f>IF(cf(gamma_c,$A17,G$7)&lt;0,0,cf(gamma_c,$A17,G$7))</f>
        <v>1.2386846608608104</v>
      </c>
      <c r="H17" s="24">
        <f>IF(cf(gamma_c,$A17,H$7)&lt;0,0,cf(gamma_c,$A17,H$7))</f>
        <v>1.4186846608608106</v>
      </c>
      <c r="I17" s="24">
        <f>IF(cf(gamma_c,$A17,I$7)&lt;0,0,cf(gamma_c,$A17,I$7))</f>
        <v>1.4986846608608104</v>
      </c>
      <c r="J17" s="24">
        <f>IF(cf(gamma_c,$A17,J$7)&lt;0,0,cf(gamma_c,$A17,J$7))</f>
        <v>1.5186846608608104</v>
      </c>
      <c r="K17" s="24">
        <f>IF(cf(gamma_c,$A17,K$7)&lt;0,0,cf(gamma_c,$A17,K$7))</f>
        <v>1.5326846608608105</v>
      </c>
      <c r="L17" s="24">
        <f>IF(cf(gamma_c,$A17,L$7)&lt;0,0,cf(gamma_c,$A17,L$7))</f>
        <v>1.5356846608608106</v>
      </c>
      <c r="M17" s="24">
        <f>IF(cf(gamma_c,$A17,M$7)&lt;0,0,cf(gamma_c,$A17,M$7))</f>
        <v>1.5386846605608104</v>
      </c>
      <c r="N17" s="24">
        <f t="shared" si="2"/>
        <v>1.3691545995957179</v>
      </c>
      <c r="O17" s="24">
        <f t="shared" si="6"/>
        <v>0.7154919537307417</v>
      </c>
      <c r="Q17">
        <f t="shared" si="3"/>
        <v>17.695976616848665</v>
      </c>
      <c r="R17">
        <f t="shared" si="7"/>
        <v>5.8986588722828879</v>
      </c>
      <c r="S17" cm="1">
        <f t="array" ref="S17">cf(gamma_c,A17,R17)</f>
        <v>1.0300944770655327</v>
      </c>
      <c r="T17">
        <f t="shared" si="4"/>
        <v>0.14436699054727323</v>
      </c>
      <c r="U17">
        <f t="shared" si="8"/>
        <v>2.5547148889693592</v>
      </c>
      <c r="V17" cm="1">
        <f t="array" ref="V17">cf(gamma_c,A17,U17)</f>
        <v>0.3643853239941901</v>
      </c>
    </row>
    <row r="18" spans="1:22" x14ac:dyDescent="0.25">
      <c r="A18" s="23">
        <v>4</v>
      </c>
      <c r="B18" s="10">
        <f t="shared" si="0"/>
        <v>2.7584353040542915</v>
      </c>
      <c r="C18" s="25">
        <f t="shared" si="1"/>
        <v>0.14832733907603246</v>
      </c>
      <c r="D18" s="10">
        <f t="shared" si="5"/>
        <v>4</v>
      </c>
      <c r="E18" s="24">
        <f>IF(cf(gamma_c,$A18,E$7)&lt;0,0,cf(gamma_c,$A18,E$7))</f>
        <v>0.25066794743181275</v>
      </c>
      <c r="F18" s="24">
        <f>IF(cf(gamma_c,$A18,F$7)&lt;0,0,cf(gamma_c,$A18,F$7))</f>
        <v>0.58400128076514601</v>
      </c>
      <c r="G18" s="24">
        <f>IF(cf(gamma_c,$A18,G$7)&lt;0,0,cf(gamma_c,$A18,G$7))</f>
        <v>1.1840012807651461</v>
      </c>
      <c r="H18" s="24">
        <f>IF(cf(gamma_c,$A18,H$7)&lt;0,0,cf(gamma_c,$A18,H$7))</f>
        <v>1.4240012807651461</v>
      </c>
      <c r="I18" s="24">
        <f>IF(cf(gamma_c,$A18,I$7)&lt;0,0,cf(gamma_c,$A18,I$7))</f>
        <v>1.5306679474318128</v>
      </c>
      <c r="J18" s="24">
        <f>IF(cf(gamma_c,$A18,J$7)&lt;0,0,cf(gamma_c,$A18,J$7))</f>
        <v>1.5573346140984794</v>
      </c>
      <c r="K18" s="24">
        <f>IF(cf(gamma_c,$A18,K$7)&lt;0,0,cf(gamma_c,$A18,K$7))</f>
        <v>1.576001280765146</v>
      </c>
      <c r="L18" s="24">
        <f>IF(cf(gamma_c,$A18,L$7)&lt;0,0,cf(gamma_c,$A18,L$7))</f>
        <v>1.580001280765146</v>
      </c>
      <c r="M18" s="24">
        <f>IF(cf(gamma_c,$A18,M$7)&lt;0,0,cf(gamma_c,$A18,M$7))</f>
        <v>1.584001280365146</v>
      </c>
      <c r="N18" s="24">
        <f t="shared" si="2"/>
        <v>1.4375455716995882</v>
      </c>
      <c r="O18" s="24">
        <f t="shared" si="6"/>
        <v>0.83684248138278983</v>
      </c>
      <c r="Q18">
        <f t="shared" si="3"/>
        <v>27.312011430086908</v>
      </c>
      <c r="R18">
        <f t="shared" si="7"/>
        <v>9.1040038100289689</v>
      </c>
      <c r="S18" cm="1">
        <f t="array" ref="S18">cf(gamma_c,A18,R18)</f>
        <v>1.1446341535684723</v>
      </c>
      <c r="T18">
        <f t="shared" si="4"/>
        <v>0.11840052446451381</v>
      </c>
      <c r="U18">
        <f t="shared" si="8"/>
        <v>3.2337564775030856</v>
      </c>
      <c r="V18" cm="1">
        <f t="array" ref="V18">cf(gamma_c,A18,U18)</f>
        <v>0.34704975772140645</v>
      </c>
    </row>
    <row r="19" spans="1:22" x14ac:dyDescent="0.25">
      <c r="A19" s="23">
        <v>8</v>
      </c>
      <c r="B19" s="10">
        <f t="shared" si="0"/>
        <v>3.3579296338403601</v>
      </c>
      <c r="C19" s="25">
        <f t="shared" si="1"/>
        <v>7.346340405257018E-2</v>
      </c>
      <c r="D19" s="10">
        <f t="shared" si="5"/>
        <v>8</v>
      </c>
      <c r="E19" s="24">
        <f>IF(cf(gamma_c,$A19,E$7)&lt;0,0,cf(gamma_c,$A19,E$7))</f>
        <v>0</v>
      </c>
      <c r="F19" s="24">
        <f>IF(cf(gamma_c,$A19,F$7)&lt;0,0,cf(gamma_c,$A19,F$7))</f>
        <v>0</v>
      </c>
      <c r="G19" s="24">
        <f>IF(cf(gamma_c,$A19,G$7)&lt;0,0,cf(gamma_c,$A19,G$7))</f>
        <v>0.87096946973402434</v>
      </c>
      <c r="H19" s="24">
        <f>IF(cf(gamma_c,$A19,H$7)&lt;0,0,cf(gamma_c,$A19,H$7))</f>
        <v>1.3509694697340244</v>
      </c>
      <c r="I19" s="24">
        <f>IF(cf(gamma_c,$A19,I$7)&lt;0,0,cf(gamma_c,$A19,I$7))</f>
        <v>1.5643028030673578</v>
      </c>
      <c r="J19" s="24">
        <f>IF(cf(gamma_c,$A19,J$7)&lt;0,0,cf(gamma_c,$A19,J$7))</f>
        <v>1.617636136400691</v>
      </c>
      <c r="K19" s="24">
        <f>IF(cf(gamma_c,$A19,K$7)&lt;0,0,cf(gamma_c,$A19,K$7))</f>
        <v>1.6549694697340245</v>
      </c>
      <c r="L19" s="24">
        <f>IF(cf(gamma_c,$A19,L$7)&lt;0,0,cf(gamma_c,$A19,L$7))</f>
        <v>1.6629694697340245</v>
      </c>
      <c r="M19" s="24">
        <f>IF(cf(gamma_c,$A19,M$7)&lt;0,0,cf(gamma_c,$A19,M$7))</f>
        <v>1.6709694689340244</v>
      </c>
      <c r="N19" s="24">
        <f t="shared" si="2"/>
        <v>1.5634815013209313</v>
      </c>
      <c r="O19" s="24">
        <f t="shared" si="6"/>
        <v>1.0989732447161047</v>
      </c>
      <c r="Q19">
        <f t="shared" si="3"/>
        <v>74.426934643091869</v>
      </c>
      <c r="R19">
        <f t="shared" si="7"/>
        <v>24.808978214363957</v>
      </c>
      <c r="S19" cm="1">
        <f t="array" ref="S19">cf(gamma_c,A19,R19)</f>
        <v>1.3485055644947452</v>
      </c>
      <c r="T19">
        <f t="shared" si="4"/>
        <v>7.951034438779353E-2</v>
      </c>
      <c r="U19">
        <f t="shared" si="8"/>
        <v>5.9177112052000354</v>
      </c>
      <c r="V19" cm="1">
        <f t="array" ref="V19">cf(gamma_c,A19,U19)</f>
        <v>0.31909545584666077</v>
      </c>
    </row>
    <row r="20" spans="1:22" x14ac:dyDescent="0.25">
      <c r="A20" s="23">
        <v>10</v>
      </c>
      <c r="B20" s="10">
        <f t="shared" si="0"/>
        <v>3.5504581096863714</v>
      </c>
      <c r="C20" s="25">
        <f t="shared" si="1"/>
        <v>5.8705172380545574E-2</v>
      </c>
      <c r="D20" s="10">
        <f t="shared" si="5"/>
        <v>10</v>
      </c>
      <c r="E20" s="24">
        <f>IF(cf(gamma_c,$A20,E$7)&lt;0,0,cf(gamma_c,$A20,E$7))</f>
        <v>0</v>
      </c>
      <c r="F20" s="24">
        <f>IF(cf(gamma_c,$A20,F$7)&lt;0,0,cf(gamma_c,$A20,F$7))</f>
        <v>0</v>
      </c>
      <c r="G20" s="24">
        <f>IF(cf(gamma_c,$A20,G$7)&lt;0,0,cf(gamma_c,$A20,G$7))</f>
        <v>0.69388882579973554</v>
      </c>
      <c r="H20" s="24">
        <f>IF(cf(gamma_c,$A20,H$7)&lt;0,0,cf(gamma_c,$A20,H$7))</f>
        <v>1.2938888257997356</v>
      </c>
      <c r="I20" s="24">
        <f>IF(cf(gamma_c,$A20,I$7)&lt;0,0,cf(gamma_c,$A20,I$7))</f>
        <v>1.5605554924664022</v>
      </c>
      <c r="J20" s="24">
        <f>IF(cf(gamma_c,$A20,J$7)&lt;0,0,cf(gamma_c,$A20,J$7))</f>
        <v>1.6272221591330689</v>
      </c>
      <c r="K20" s="24">
        <f>IF(cf(gamma_c,$A20,K$7)&lt;0,0,cf(gamma_c,$A20,K$7))</f>
        <v>1.6738888257997355</v>
      </c>
      <c r="L20" s="24">
        <f>IF(cf(gamma_c,$A20,L$7)&lt;0,0,cf(gamma_c,$A20,L$7))</f>
        <v>1.6838888257997355</v>
      </c>
      <c r="M20" s="24">
        <f>IF(cf(gamma_c,$A20,M$7)&lt;0,0,cf(gamma_c,$A20,M$7))</f>
        <v>1.6938888247997357</v>
      </c>
      <c r="N20" s="24">
        <f t="shared" si="2"/>
        <v>1.5957573442578998</v>
      </c>
      <c r="O20" s="24">
        <f t="shared" si="6"/>
        <v>1.1742618375937413</v>
      </c>
      <c r="Q20">
        <f t="shared" si="3"/>
        <v>101.90409685944429</v>
      </c>
      <c r="R20">
        <f t="shared" si="7"/>
        <v>33.968032286481431</v>
      </c>
      <c r="S20" cm="1">
        <f t="array" ref="S20">cf(gamma_c,A20,R20)</f>
        <v>1.3994943811742284</v>
      </c>
      <c r="T20">
        <f t="shared" si="4"/>
        <v>7.1045549944633316E-2</v>
      </c>
      <c r="U20">
        <f t="shared" si="8"/>
        <v>7.2398326029904005</v>
      </c>
      <c r="V20" cm="1">
        <f t="array" ref="V20">cf(gamma_c,A20,U20)</f>
        <v>0.31264142018023056</v>
      </c>
    </row>
    <row r="21" spans="1:22" x14ac:dyDescent="0.25">
      <c r="A21" s="23">
        <v>12</v>
      </c>
      <c r="B21" s="10">
        <f t="shared" si="0"/>
        <v>3.7086657962991882</v>
      </c>
      <c r="C21" s="25">
        <f t="shared" si="1"/>
        <v>4.8891424833386862E-2</v>
      </c>
      <c r="D21" s="10">
        <f t="shared" si="5"/>
        <v>12</v>
      </c>
      <c r="E21" s="24">
        <f>IF(cf(gamma_c,$A21,E$7)&lt;0,0,cf(gamma_c,$A21,E$7))</f>
        <v>0</v>
      </c>
      <c r="F21" s="24">
        <f>IF(cf(gamma_c,$A21,F$7)&lt;0,0,cf(gamma_c,$A21,F$7))</f>
        <v>0</v>
      </c>
      <c r="G21" s="24">
        <f>IF(cf(gamma_c,$A21,G$7)&lt;0,0,cf(gamma_c,$A21,G$7))</f>
        <v>0.51114702803465928</v>
      </c>
      <c r="H21" s="24">
        <f>IF(cf(gamma_c,$A21,H$7)&lt;0,0,cf(gamma_c,$A21,H$7))</f>
        <v>1.2311470280346595</v>
      </c>
      <c r="I21" s="24">
        <f>IF(cf(gamma_c,$A21,I$7)&lt;0,0,cf(gamma_c,$A21,I$7))</f>
        <v>1.5511470280346593</v>
      </c>
      <c r="J21" s="24">
        <f>IF(cf(gamma_c,$A21,J$7)&lt;0,0,cf(gamma_c,$A21,J$7))</f>
        <v>1.6311470280346594</v>
      </c>
      <c r="K21" s="24">
        <f>IF(cf(gamma_c,$A21,K$7)&lt;0,0,cf(gamma_c,$A21,K$7))</f>
        <v>1.6871470280346594</v>
      </c>
      <c r="L21" s="24">
        <f>IF(cf(gamma_c,$A21,L$7)&lt;0,0,cf(gamma_c,$A21,L$7))</f>
        <v>1.6991470280346594</v>
      </c>
      <c r="M21" s="24">
        <f>IF(cf(gamma_c,$A21,M$7)&lt;0,0,cf(gamma_c,$A21,M$7))</f>
        <v>1.7111470268346594</v>
      </c>
      <c r="N21" s="24">
        <f t="shared" si="2"/>
        <v>1.6198513827231964</v>
      </c>
      <c r="O21" s="24">
        <f t="shared" si="6"/>
        <v>1.2324874332589837</v>
      </c>
      <c r="Q21">
        <f t="shared" si="3"/>
        <v>131.44109950765946</v>
      </c>
      <c r="R21">
        <f t="shared" si="7"/>
        <v>43.813699835886489</v>
      </c>
      <c r="S21" cm="1">
        <f t="array" ref="S21">cf(gamma_c,A21,R21)</f>
        <v>1.4372600921002703</v>
      </c>
      <c r="T21">
        <f t="shared" si="4"/>
        <v>6.5064505533387509E-2</v>
      </c>
      <c r="U21">
        <f t="shared" si="8"/>
        <v>8.5521501462306464</v>
      </c>
      <c r="V21" cm="1">
        <f t="array" ref="V21">cf(gamma_c,A21,U21)</f>
        <v>0.30799112047742461</v>
      </c>
    </row>
    <row r="22" spans="1:22" x14ac:dyDescent="0.25">
      <c r="A22" s="23">
        <v>14</v>
      </c>
      <c r="B22" s="10">
        <f t="shared" si="0"/>
        <v>3.8433421839818851</v>
      </c>
      <c r="C22" s="25">
        <f t="shared" si="1"/>
        <v>4.189169721326625E-2</v>
      </c>
      <c r="D22" s="10">
        <f t="shared" si="5"/>
        <v>14</v>
      </c>
      <c r="E22" s="24">
        <f>IF(cf(gamma_c,$A22,E$7)&lt;0,0,cf(gamma_c,$A22,E$7))</f>
        <v>0</v>
      </c>
      <c r="F22" s="24">
        <f>IF(cf(gamma_c,$A22,F$7)&lt;0,0,cf(gamma_c,$A22,F$7))</f>
        <v>0</v>
      </c>
      <c r="G22" s="24">
        <f>IF(cf(gamma_c,$A22,G$7)&lt;0,0,cf(gamma_c,$A22,G$7))</f>
        <v>0.32480709396683127</v>
      </c>
      <c r="H22" s="24">
        <f>IF(cf(gamma_c,$A22,H$7)&lt;0,0,cf(gamma_c,$A22,H$7))</f>
        <v>1.1648070939668314</v>
      </c>
      <c r="I22" s="24">
        <f>IF(cf(gamma_c,$A22,I$7)&lt;0,0,cf(gamma_c,$A22,I$7))</f>
        <v>1.5381404273001646</v>
      </c>
      <c r="J22" s="24">
        <f>IF(cf(gamma_c,$A22,J$7)&lt;0,0,cf(gamma_c,$A22,J$7))</f>
        <v>1.6314737606334979</v>
      </c>
      <c r="K22" s="24">
        <f>IF(cf(gamma_c,$A22,K$7)&lt;0,0,cf(gamma_c,$A22,K$7))</f>
        <v>1.6968070939668314</v>
      </c>
      <c r="L22" s="24">
        <f>IF(cf(gamma_c,$A22,L$7)&lt;0,0,cf(gamma_c,$A22,L$7))</f>
        <v>1.7108070939668314</v>
      </c>
      <c r="M22" s="24">
        <f>IF(cf(gamma_c,$A22,M$7)&lt;0,0,cf(gamma_c,$A22,M$7))</f>
        <v>1.7248070925668313</v>
      </c>
      <c r="N22" s="24">
        <f t="shared" si="2"/>
        <v>1.6388030358254422</v>
      </c>
      <c r="O22" s="24">
        <f t="shared" si="6"/>
        <v>1.2794083725768406</v>
      </c>
      <c r="Q22">
        <f t="shared" si="3"/>
        <v>162.78301631981421</v>
      </c>
      <c r="R22">
        <f t="shared" si="7"/>
        <v>54.261005439938067</v>
      </c>
      <c r="S22" cm="1">
        <f t="array" ref="S22">cf(gamma_c,A22,R22)</f>
        <v>1.4667949195426639</v>
      </c>
      <c r="T22">
        <f t="shared" si="4"/>
        <v>6.055013335657615E-2</v>
      </c>
      <c r="U22">
        <f t="shared" si="8"/>
        <v>9.8565333463504619</v>
      </c>
      <c r="V22" cm="1">
        <f t="array" ref="V22">cf(gamma_c,A22,U22)</f>
        <v>0.30442941065247187</v>
      </c>
    </row>
    <row r="23" spans="1:22" x14ac:dyDescent="0.25">
      <c r="A23" s="23">
        <v>15</v>
      </c>
      <c r="B23" s="10">
        <f t="shared" si="0"/>
        <v>3.9039440926256725</v>
      </c>
      <c r="C23" s="25">
        <f t="shared" si="1"/>
        <v>3.9093847017286458E-2</v>
      </c>
      <c r="D23" s="10">
        <f t="shared" si="5"/>
        <v>15</v>
      </c>
      <c r="E23" s="24">
        <f>IF(cf(gamma_c,$A23,E$7)&lt;0,0,cf(gamma_c,$A23,E$7))</f>
        <v>0</v>
      </c>
      <c r="F23" s="24">
        <f>IF(cf(gamma_c,$A23,F$7)&lt;0,0,cf(gamma_c,$A23,F$7))</f>
        <v>0</v>
      </c>
      <c r="G23" s="24">
        <f>IF(cf(gamma_c,$A23,G$7)&lt;0,0,cf(gamma_c,$A23,G$7))</f>
        <v>0.23066312414108037</v>
      </c>
      <c r="H23" s="24">
        <f>IF(cf(gamma_c,$A23,H$7)&lt;0,0,cf(gamma_c,$A23,H$7))</f>
        <v>1.1306631241410803</v>
      </c>
      <c r="I23" s="24">
        <f>IF(cf(gamma_c,$A23,I$7)&lt;0,0,cf(gamma_c,$A23,I$7))</f>
        <v>1.5306631241410802</v>
      </c>
      <c r="J23" s="24">
        <f>IF(cf(gamma_c,$A23,J$7)&lt;0,0,cf(gamma_c,$A23,J$7))</f>
        <v>1.6306631241410803</v>
      </c>
      <c r="K23" s="24">
        <f>IF(cf(gamma_c,$A23,K$7)&lt;0,0,cf(gamma_c,$A23,K$7))</f>
        <v>1.7006631241410803</v>
      </c>
      <c r="L23" s="24">
        <f>IF(cf(gamma_c,$A23,L$7)&lt;0,0,cf(gamma_c,$A23,L$7))</f>
        <v>1.7156631241410802</v>
      </c>
      <c r="M23" s="24">
        <f>IF(cf(gamma_c,$A23,M$7)&lt;0,0,cf(gamma_c,$A23,M$7))</f>
        <v>1.7306631226410802</v>
      </c>
      <c r="N23" s="24">
        <f t="shared" si="2"/>
        <v>1.6468967930007012</v>
      </c>
      <c r="O23" s="24">
        <f t="shared" si="6"/>
        <v>1.299723579886624</v>
      </c>
      <c r="Q23">
        <f t="shared" si="3"/>
        <v>179.06955928226571</v>
      </c>
      <c r="R23">
        <f t="shared" si="7"/>
        <v>59.689853094088569</v>
      </c>
      <c r="S23" cm="1">
        <f t="array" ref="S23">cf(gamma_c,A23,R23)</f>
        <v>1.4793641307199432</v>
      </c>
      <c r="T23">
        <f t="shared" si="4"/>
        <v>5.8670995292045842E-2</v>
      </c>
      <c r="U23">
        <f t="shared" si="8"/>
        <v>10.506189269598536</v>
      </c>
      <c r="V23" cm="1">
        <f t="array" ref="V23">cf(gamma_c,A23,U23)</f>
        <v>0.30293327699230721</v>
      </c>
    </row>
    <row r="24" spans="1:22" x14ac:dyDescent="0.25">
      <c r="A24" s="23">
        <v>19</v>
      </c>
      <c r="B24" s="10">
        <f t="shared" si="0"/>
        <v>4.1133658070977388</v>
      </c>
      <c r="C24" s="25">
        <f t="shared" si="1"/>
        <v>3.085338235005048E-2</v>
      </c>
      <c r="D24" s="10">
        <f t="shared" si="5"/>
        <v>19</v>
      </c>
      <c r="E24" s="24">
        <f>IF(cf(gamma_c,$A24,E$7)&lt;0,0,cf(gamma_c,$A24,E$7))</f>
        <v>0</v>
      </c>
      <c r="F24" s="24">
        <f>IF(cf(gamma_c,$A24,F$7)&lt;0,0,cf(gamma_c,$A24,F$7))</f>
        <v>0</v>
      </c>
      <c r="G24" s="24">
        <f>IF(cf(gamma_c,$A24,G$7)&lt;0,0,cf(gamma_c,$A24,G$7))</f>
        <v>0</v>
      </c>
      <c r="H24" s="24">
        <f>IF(cf(gamma_c,$A24,H$7)&lt;0,0,cf(gamma_c,$A24,H$7))</f>
        <v>0.98960718576645035</v>
      </c>
      <c r="I24" s="24">
        <f>IF(cf(gamma_c,$A24,I$7)&lt;0,0,cf(gamma_c,$A24,I$7))</f>
        <v>1.4962738524331169</v>
      </c>
      <c r="J24" s="24">
        <f>IF(cf(gamma_c,$A24,J$7)&lt;0,0,cf(gamma_c,$A24,J$7))</f>
        <v>1.6229405190997837</v>
      </c>
      <c r="K24" s="24">
        <f>IF(cf(gamma_c,$A24,K$7)&lt;0,0,cf(gamma_c,$A24,K$7))</f>
        <v>1.7116071857664503</v>
      </c>
      <c r="L24" s="24">
        <f>IF(cf(gamma_c,$A24,L$7)&lt;0,0,cf(gamma_c,$A24,L$7))</f>
        <v>1.7306071857664505</v>
      </c>
      <c r="M24" s="24">
        <f>IF(cf(gamma_c,$A24,M$7)&lt;0,0,cf(gamma_c,$A24,M$7))</f>
        <v>1.7496071838664504</v>
      </c>
      <c r="N24" s="24">
        <f t="shared" si="2"/>
        <v>1.6729591619425654</v>
      </c>
      <c r="O24" s="24">
        <f t="shared" si="6"/>
        <v>1.3661167323676682</v>
      </c>
      <c r="Q24">
        <f t="shared" si="3"/>
        <v>247.8863648677561</v>
      </c>
      <c r="R24">
        <f t="shared" si="7"/>
        <v>82.628788289252029</v>
      </c>
      <c r="S24" cm="1">
        <f t="array" ref="S24">cf(gamma_c,A24,R24)</f>
        <v>1.5196631142947956</v>
      </c>
      <c r="T24">
        <f t="shared" si="4"/>
        <v>5.280996530735322E-2</v>
      </c>
      <c r="U24">
        <f t="shared" si="8"/>
        <v>13.090870328832102</v>
      </c>
      <c r="V24" cm="1">
        <f t="array" ref="V24">cf(gamma_c,A24,U24)</f>
        <v>0.29821399931395898</v>
      </c>
    </row>
    <row r="25" spans="1:22" x14ac:dyDescent="0.25">
      <c r="A25" s="23">
        <v>20</v>
      </c>
      <c r="B25" s="10">
        <f t="shared" si="0"/>
        <v>4.1592100798537732</v>
      </c>
      <c r="C25" s="25">
        <f t="shared" si="1"/>
        <v>2.9309154502766058E-2</v>
      </c>
      <c r="D25" s="10">
        <f t="shared" si="5"/>
        <v>20</v>
      </c>
      <c r="E25" s="24">
        <f>IF(cf(gamma_c,$A25,E$7)&lt;0,0,cf(gamma_c,$A25,E$7))</f>
        <v>0</v>
      </c>
      <c r="F25" s="24">
        <f>IF(cf(gamma_c,$A25,F$7)&lt;0,0,cf(gamma_c,$A25,F$7))</f>
        <v>0</v>
      </c>
      <c r="G25" s="24">
        <f>IF(cf(gamma_c,$A25,G$7)&lt;0,0,cf(gamma_c,$A25,G$7))</f>
        <v>0</v>
      </c>
      <c r="H25" s="24">
        <f>IF(cf(gamma_c,$A25,H$7)&lt;0,0,cf(gamma_c,$A25,H$7))</f>
        <v>0.95350160331757861</v>
      </c>
      <c r="I25" s="24">
        <f>IF(cf(gamma_c,$A25,I$7)&lt;0,0,cf(gamma_c,$A25,I$7))</f>
        <v>1.4868349366509119</v>
      </c>
      <c r="J25" s="24">
        <f>IF(cf(gamma_c,$A25,J$7)&lt;0,0,cf(gamma_c,$A25,J$7))</f>
        <v>1.6201682699842452</v>
      </c>
      <c r="K25" s="24">
        <f>IF(cf(gamma_c,$A25,K$7)&lt;0,0,cf(gamma_c,$A25,K$7))</f>
        <v>1.7135016033175787</v>
      </c>
      <c r="L25" s="24">
        <f>IF(cf(gamma_c,$A25,L$7)&lt;0,0,cf(gamma_c,$A25,L$7))</f>
        <v>1.7335016033175785</v>
      </c>
      <c r="M25" s="24">
        <f>IF(cf(gamma_c,$A25,M$7)&lt;0,0,cf(gamma_c,$A25,M$7))</f>
        <v>1.7535016013175786</v>
      </c>
      <c r="N25" s="24">
        <f t="shared" si="2"/>
        <v>1.6782948504684974</v>
      </c>
      <c r="O25" s="24">
        <f t="shared" si="6"/>
        <v>1.3798665349009678</v>
      </c>
      <c r="Q25">
        <f t="shared" si="3"/>
        <v>265.9335663664985</v>
      </c>
      <c r="R25">
        <f t="shared" si="7"/>
        <v>88.644522122166165</v>
      </c>
      <c r="S25" cm="1">
        <f t="array" ref="S25">cf(gamma_c,A25,R25)</f>
        <v>1.5278813447703348</v>
      </c>
      <c r="T25">
        <f t="shared" si="4"/>
        <v>5.1644629425979534E-2</v>
      </c>
      <c r="U25">
        <f t="shared" si="8"/>
        <v>13.734040486926949</v>
      </c>
      <c r="V25" cm="1">
        <f t="array" ref="V25">cf(gamma_c,A25,U25)</f>
        <v>0.29726590785436469</v>
      </c>
    </row>
    <row r="26" spans="1:22" x14ac:dyDescent="0.25">
      <c r="A26" s="23">
        <v>30</v>
      </c>
      <c r="B26" s="10">
        <f t="shared" si="0"/>
        <v>4.5274991088415337</v>
      </c>
      <c r="C26" s="25">
        <f t="shared" si="1"/>
        <v>1.9534096682441951E-2</v>
      </c>
      <c r="D26" s="10">
        <f t="shared" si="5"/>
        <v>30</v>
      </c>
      <c r="E26" s="24">
        <f>IF(cf(gamma_c,$A26,E$7)&lt;0,0,cf(gamma_c,$A26,E$7))</f>
        <v>0</v>
      </c>
      <c r="F26" s="24">
        <f>IF(cf(gamma_c,$A26,F$7)&lt;0,0,cf(gamma_c,$A26,F$7))</f>
        <v>0</v>
      </c>
      <c r="G26" s="24">
        <f>IF(cf(gamma_c,$A26,G$7)&lt;0,0,cf(gamma_c,$A26,G$7))</f>
        <v>0</v>
      </c>
      <c r="H26" s="24">
        <f>IF(cf(gamma_c,$A26,H$7)&lt;0,0,cf(gamma_c,$A26,H$7))</f>
        <v>0.58184838964226548</v>
      </c>
      <c r="I26" s="24">
        <f>IF(cf(gamma_c,$A26,I$7)&lt;0,0,cf(gamma_c,$A26,I$7))</f>
        <v>1.3818483896422653</v>
      </c>
      <c r="J26" s="24">
        <f>IF(cf(gamma_c,$A26,J$7)&lt;0,0,cf(gamma_c,$A26,J$7))</f>
        <v>1.5818483896422653</v>
      </c>
      <c r="K26" s="24">
        <f>IF(cf(gamma_c,$A26,K$7)&lt;0,0,cf(gamma_c,$A26,K$7))</f>
        <v>1.7218483896422654</v>
      </c>
      <c r="L26" s="24">
        <f>IF(cf(gamma_c,$A26,L$7)&lt;0,0,cf(gamma_c,$A26,L$7))</f>
        <v>1.7518483896422654</v>
      </c>
      <c r="M26" s="24">
        <f>IF(cf(gamma_c,$A26,M$7)&lt;0,0,cf(gamma_c,$A26,M$7))</f>
        <v>1.7818483866422654</v>
      </c>
      <c r="N26" s="24">
        <f t="shared" si="2"/>
        <v>1.7169187077040555</v>
      </c>
      <c r="O26" s="24">
        <f t="shared" si="6"/>
        <v>1.4803150945052965</v>
      </c>
      <c r="Q26">
        <f t="shared" si="3"/>
        <v>462.03830212119976</v>
      </c>
      <c r="R26">
        <f t="shared" si="7"/>
        <v>154.01276737373325</v>
      </c>
      <c r="S26" cm="1">
        <f t="array" ref="S26">cf(gamma_c,A26,R26)</f>
        <v>1.5870593438276359</v>
      </c>
      <c r="T26">
        <f t="shared" si="4"/>
        <v>4.353986286812974E-2</v>
      </c>
      <c r="U26">
        <f t="shared" si="8"/>
        <v>20.117084314180538</v>
      </c>
      <c r="V26" cm="1">
        <f t="array" ref="V26">cf(gamma_c,A26,U26)</f>
        <v>0.29057860464399954</v>
      </c>
    </row>
    <row r="27" spans="1:22" x14ac:dyDescent="0.25">
      <c r="A27" s="23">
        <v>40</v>
      </c>
      <c r="B27" s="10">
        <f t="shared" si="0"/>
        <v>4.7960393224956785</v>
      </c>
      <c r="C27" s="25">
        <f t="shared" si="1"/>
        <v>1.4649172079872857E-2</v>
      </c>
      <c r="D27" s="10">
        <f t="shared" si="5"/>
        <v>40</v>
      </c>
      <c r="E27" s="24">
        <f>IF(cf(gamma_c,$A27,E$7)&lt;0,0,cf(gamma_c,$A27,E$7))</f>
        <v>0</v>
      </c>
      <c r="F27" s="24">
        <f>IF(cf(gamma_c,$A27,F$7)&lt;0,0,cf(gamma_c,$A27,F$7))</f>
        <v>0</v>
      </c>
      <c r="G27" s="24">
        <f>IF(cf(gamma_c,$A27,G$7)&lt;0,0,cf(gamma_c,$A27,G$7))</f>
        <v>0</v>
      </c>
      <c r="H27" s="24">
        <f>IF(cf(gamma_c,$A27,H$7)&lt;0,0,cf(gamma_c,$A27,H$7))</f>
        <v>0.19960891967784922</v>
      </c>
      <c r="I27" s="24">
        <f>IF(cf(gamma_c,$A27,I$7)&lt;0,0,cf(gamma_c,$A27,I$7))</f>
        <v>1.2662755863445159</v>
      </c>
      <c r="J27" s="24">
        <f>IF(cf(gamma_c,$A27,J$7)&lt;0,0,cf(gamma_c,$A27,J$7))</f>
        <v>1.5329422530111827</v>
      </c>
      <c r="K27" s="24">
        <f>IF(cf(gamma_c,$A27,K$7)&lt;0,0,cf(gamma_c,$A27,K$7))</f>
        <v>1.7196089196778495</v>
      </c>
      <c r="L27" s="24">
        <f>IF(cf(gamma_c,$A27,L$7)&lt;0,0,cf(gamma_c,$A27,L$7))</f>
        <v>1.7596089196778493</v>
      </c>
      <c r="M27" s="24">
        <f>IF(cf(gamma_c,$A27,M$7)&lt;0,0,cf(gamma_c,$A27,M$7))</f>
        <v>1.7996089156778494</v>
      </c>
      <c r="N27" s="24">
        <f t="shared" si="2"/>
        <v>1.7409373167139803</v>
      </c>
      <c r="O27" s="24">
        <f t="shared" si="6"/>
        <v>1.5427109139694746</v>
      </c>
      <c r="Q27">
        <f t="shared" si="3"/>
        <v>681.7608174883627</v>
      </c>
      <c r="R27">
        <f t="shared" si="7"/>
        <v>227.25360582945424</v>
      </c>
      <c r="S27" cm="1">
        <f t="array" ref="S27">cf(gamma_c,A27,R27)</f>
        <v>1.6235941107862422</v>
      </c>
      <c r="T27">
        <f t="shared" si="4"/>
        <v>3.8777317376120092E-2</v>
      </c>
      <c r="U27">
        <f t="shared" si="8"/>
        <v>26.436855594349325</v>
      </c>
      <c r="V27" cm="1">
        <f t="array" ref="V27">cf(gamma_c,A27,U27)</f>
        <v>0.28656967576150039</v>
      </c>
    </row>
    <row r="28" spans="1:22" x14ac:dyDescent="0.25">
      <c r="A28" s="23">
        <v>50</v>
      </c>
      <c r="B28" s="10">
        <f t="shared" si="0"/>
        <v>5.0090464059842041</v>
      </c>
      <c r="C28" s="25">
        <f t="shared" si="1"/>
        <v>1.1718819276027923E-2</v>
      </c>
      <c r="D28" s="10">
        <f t="shared" si="5"/>
        <v>50</v>
      </c>
      <c r="E28" s="24">
        <f>IF(cf(gamma_c,$A28,E$7)&lt;0,0,cf(gamma_c,$A28,E$7))</f>
        <v>0</v>
      </c>
      <c r="F28" s="24">
        <f>IF(cf(gamma_c,$A28,F$7)&lt;0,0,cf(gamma_c,$A28,F$7))</f>
        <v>0</v>
      </c>
      <c r="G28" s="24">
        <f>IF(cf(gamma_c,$A28,G$7)&lt;0,0,cf(gamma_c,$A28,G$7))</f>
        <v>0</v>
      </c>
      <c r="H28" s="24">
        <f>IF(cf(gamma_c,$A28,H$7)&lt;0,0,cf(gamma_c,$A28,H$7))</f>
        <v>0</v>
      </c>
      <c r="I28" s="24">
        <f>IF(cf(gamma_c,$A28,I$7)&lt;0,0,cf(gamma_c,$A28,I$7))</f>
        <v>1.1455405484126187</v>
      </c>
      <c r="J28" s="24">
        <f>IF(cf(gamma_c,$A28,J$7)&lt;0,0,cf(gamma_c,$A28,J$7))</f>
        <v>1.4788738817459521</v>
      </c>
      <c r="K28" s="24">
        <f>IF(cf(gamma_c,$A28,K$7)&lt;0,0,cf(gamma_c,$A28,K$7))</f>
        <v>1.7122072150792853</v>
      </c>
      <c r="L28" s="24">
        <f>IF(cf(gamma_c,$A28,L$7)&lt;0,0,cf(gamma_c,$A28,L$7))</f>
        <v>1.7622072150792853</v>
      </c>
      <c r="M28" s="24">
        <f>IF(cf(gamma_c,$A28,M$7)&lt;0,0,cf(gamma_c,$A28,M$7))</f>
        <v>1.8122072100792854</v>
      </c>
      <c r="N28" s="24">
        <f t="shared" si="2"/>
        <v>1.7578955344098255</v>
      </c>
      <c r="O28" s="24">
        <f t="shared" si="6"/>
        <v>1.5860364303124865</v>
      </c>
      <c r="Q28">
        <f t="shared" si="3"/>
        <v>920.6122768378184</v>
      </c>
      <c r="R28">
        <f t="shared" si="7"/>
        <v>306.87075894593949</v>
      </c>
      <c r="S28" cm="1">
        <f t="array" ref="S28">cf(gamma_c,A28,R28)</f>
        <v>1.6492721730709057</v>
      </c>
      <c r="T28">
        <f t="shared" si="4"/>
        <v>3.5534943748827506E-2</v>
      </c>
      <c r="U28">
        <f t="shared" si="8"/>
        <v>32.713905471911893</v>
      </c>
      <c r="V28" cm="1">
        <f t="array" ref="V28">cf(gamma_c,A28,U28)</f>
        <v>0.28380517078867284</v>
      </c>
    </row>
    <row r="29" spans="1:22" x14ac:dyDescent="0.25">
      <c r="A29" s="23">
        <v>80</v>
      </c>
      <c r="B29" s="10">
        <f t="shared" si="0"/>
        <v>5.4727809026689078</v>
      </c>
      <c r="C29" s="25">
        <f t="shared" si="1"/>
        <v>7.3239111324875502E-3</v>
      </c>
      <c r="D29" s="10">
        <f t="shared" si="5"/>
        <v>80</v>
      </c>
      <c r="E29" s="24">
        <f>IF(cf(gamma_c,$A29,E$7)&lt;0,0,cf(gamma_c,$A29,E$7))</f>
        <v>0</v>
      </c>
      <c r="F29" s="24">
        <f>IF(cf(gamma_c,$A29,F$7)&lt;0,0,cf(gamma_c,$A29,F$7))</f>
        <v>0</v>
      </c>
      <c r="G29" s="24">
        <f>IF(cf(gamma_c,$A29,G$7)&lt;0,0,cf(gamma_c,$A29,G$7))</f>
        <v>0</v>
      </c>
      <c r="H29" s="24">
        <f>IF(cf(gamma_c,$A29,H$7)&lt;0,0,cf(gamma_c,$A29,H$7))</f>
        <v>0</v>
      </c>
      <c r="I29" s="24">
        <f>IF(cf(gamma_c,$A29,I$7)&lt;0,0,cf(gamma_c,$A29,I$7))</f>
        <v>0.76912983003539304</v>
      </c>
      <c r="J29" s="24">
        <f>IF(cf(gamma_c,$A29,J$7)&lt;0,0,cf(gamma_c,$A29,J$7))</f>
        <v>1.3024631633687265</v>
      </c>
      <c r="K29" s="24">
        <f>IF(cf(gamma_c,$A29,K$7)&lt;0,0,cf(gamma_c,$A29,K$7))</f>
        <v>1.6757964967020598</v>
      </c>
      <c r="L29" s="24">
        <f>IF(cf(gamma_c,$A29,L$7)&lt;0,0,cf(gamma_c,$A29,L$7))</f>
        <v>1.7557964967020598</v>
      </c>
      <c r="M29" s="24">
        <f>IF(cf(gamma_c,$A29,M$7)&lt;0,0,cf(gamma_c,$A29,M$7))</f>
        <v>1.8357964887020597</v>
      </c>
      <c r="N29" s="24">
        <f t="shared" si="2"/>
        <v>1.7894815268947797</v>
      </c>
      <c r="O29" s="24">
        <f t="shared" si="6"/>
        <v>1.6627949747992612</v>
      </c>
      <c r="Q29">
        <f t="shared" si="3"/>
        <v>1727.3032959513041</v>
      </c>
      <c r="R29">
        <f t="shared" si="7"/>
        <v>575.76776531710141</v>
      </c>
      <c r="S29" cm="1">
        <f t="array" ref="S29">cf(gamma_c,A29,R29)</f>
        <v>1.6968515872802197</v>
      </c>
      <c r="T29">
        <f t="shared" si="4"/>
        <v>2.9746273321729539E-2</v>
      </c>
      <c r="U29">
        <f t="shared" si="8"/>
        <v>51.380835950891779</v>
      </c>
      <c r="V29" cm="1">
        <f t="array" ref="V29">cf(gamma_c,A29,U29)</f>
        <v>0.27879574886561853</v>
      </c>
    </row>
    <row r="30" spans="1:22" x14ac:dyDescent="0.25">
      <c r="A30" s="23">
        <v>90</v>
      </c>
      <c r="B30" s="10">
        <f t="shared" si="0"/>
        <v>5.5924686442031932</v>
      </c>
      <c r="C30" s="25">
        <f t="shared" si="1"/>
        <v>6.510101269144291E-3</v>
      </c>
      <c r="D30" s="10">
        <f t="shared" si="5"/>
        <v>90</v>
      </c>
      <c r="E30" s="24">
        <f>IF(cf(gamma_c,$A30,E$7)&lt;0,0,cf(gamma_c,$A30,E$7))</f>
        <v>0</v>
      </c>
      <c r="F30" s="24">
        <f>IF(cf(gamma_c,$A30,F$7)&lt;0,0,cf(gamma_c,$A30,F$7))</f>
        <v>0</v>
      </c>
      <c r="G30" s="24">
        <f>IF(cf(gamma_c,$A30,G$7)&lt;0,0,cf(gamma_c,$A30,G$7))</f>
        <v>0</v>
      </c>
      <c r="H30" s="24">
        <f>IF(cf(gamma_c,$A30,H$7)&lt;0,0,cf(gamma_c,$A30,H$7))</f>
        <v>0</v>
      </c>
      <c r="I30" s="24">
        <f>IF(cf(gamma_c,$A30,I$7)&lt;0,0,cf(gamma_c,$A30,I$7))</f>
        <v>0.64114573788052165</v>
      </c>
      <c r="J30" s="24">
        <f>IF(cf(gamma_c,$A30,J$7)&lt;0,0,cf(gamma_c,$A30,J$7))</f>
        <v>1.2411457378805215</v>
      </c>
      <c r="K30" s="24">
        <f>IF(cf(gamma_c,$A30,K$7)&lt;0,0,cf(gamma_c,$A30,K$7))</f>
        <v>1.6611457378805217</v>
      </c>
      <c r="L30" s="24">
        <f>IF(cf(gamma_c,$A30,L$7)&lt;0,0,cf(gamma_c,$A30,L$7))</f>
        <v>1.7511457378805215</v>
      </c>
      <c r="M30" s="24">
        <f>IF(cf(gamma_c,$A30,M$7)&lt;0,0,cf(gamma_c,$A30,M$7))</f>
        <v>1.8411457288805215</v>
      </c>
      <c r="N30" s="24">
        <f t="shared" si="2"/>
        <v>1.7966151697009503</v>
      </c>
      <c r="O30" s="24">
        <f t="shared" si="6"/>
        <v>1.6789498939045324</v>
      </c>
      <c r="Q30">
        <f t="shared" si="3"/>
        <v>2021.0835765012328</v>
      </c>
      <c r="R30">
        <f t="shared" si="7"/>
        <v>673.69452550041092</v>
      </c>
      <c r="S30" cm="1">
        <f t="array" ref="S30">cf(gamma_c,A30,R30)</f>
        <v>1.7075540333418076</v>
      </c>
      <c r="T30">
        <f t="shared" si="4"/>
        <v>2.8482119347218247E-2</v>
      </c>
      <c r="U30">
        <f t="shared" si="8"/>
        <v>57.564743636610814</v>
      </c>
      <c r="V30" cm="1">
        <f t="array" ref="V30">cf(gamma_c,A30,U30)</f>
        <v>0.27768876205963777</v>
      </c>
    </row>
    <row r="31" spans="1:22" x14ac:dyDescent="0.25">
      <c r="A31" s="23">
        <v>100</v>
      </c>
      <c r="B31" s="10">
        <f t="shared" si="0"/>
        <v>5.700789749167579</v>
      </c>
      <c r="C31" s="25">
        <f t="shared" si="1"/>
        <v>5.859064130743121E-3</v>
      </c>
      <c r="D31" s="10">
        <f t="shared" si="5"/>
        <v>100</v>
      </c>
      <c r="E31" s="24">
        <f>IF(cf(gamma_c,$A31,E$7)&lt;0,0,cf(gamma_c,$A31,E$7))</f>
        <v>0</v>
      </c>
      <c r="F31" s="24">
        <f>IF(cf(gamma_c,$A31,F$7)&lt;0,0,cf(gamma_c,$A31,F$7))</f>
        <v>0</v>
      </c>
      <c r="G31" s="24">
        <f>IF(cf(gamma_c,$A31,G$7)&lt;0,0,cf(gamma_c,$A31,G$7))</f>
        <v>0</v>
      </c>
      <c r="H31" s="24">
        <f>IF(cf(gamma_c,$A31,H$7)&lt;0,0,cf(gamma_c,$A31,H$7))</f>
        <v>0</v>
      </c>
      <c r="I31" s="24">
        <f>IF(cf(gamma_c,$A31,I$7)&lt;0,0,cf(gamma_c,$A31,I$7))</f>
        <v>0.51242304594959909</v>
      </c>
      <c r="J31" s="24">
        <f>IF(cf(gamma_c,$A31,J$7)&lt;0,0,cf(gamma_c,$A31,J$7))</f>
        <v>1.1790897126162658</v>
      </c>
      <c r="K31" s="24">
        <f>IF(cf(gamma_c,$A31,K$7)&lt;0,0,cf(gamma_c,$A31,K$7))</f>
        <v>1.6457563792829324</v>
      </c>
      <c r="L31" s="24">
        <f>IF(cf(gamma_c,$A31,L$7)&lt;0,0,cf(gamma_c,$A31,L$7))</f>
        <v>1.7457563792829325</v>
      </c>
      <c r="M31" s="24">
        <f>IF(cf(gamma_c,$A31,M$7)&lt;0,0,cf(gamma_c,$A31,M$7))</f>
        <v>1.8457563692829324</v>
      </c>
      <c r="N31" s="24">
        <f t="shared" si="2"/>
        <v>1.8027555256643186</v>
      </c>
      <c r="O31" s="24">
        <f t="shared" si="6"/>
        <v>1.6923547433549051</v>
      </c>
      <c r="Q31">
        <f t="shared" si="3"/>
        <v>2325.5352297637428</v>
      </c>
      <c r="R31">
        <f t="shared" si="7"/>
        <v>775.17840992124763</v>
      </c>
      <c r="S31" cm="1">
        <f t="array" ref="S31">cf(gamma_c,A31,R31)</f>
        <v>1.7167538184270912</v>
      </c>
      <c r="T31">
        <f t="shared" si="4"/>
        <v>2.7406300168662322E-2</v>
      </c>
      <c r="U31">
        <f t="shared" si="8"/>
        <v>63.734316559704233</v>
      </c>
      <c r="V31" cm="1">
        <f t="array" ref="V31">cf(gamma_c,A31,U31)</f>
        <v>0.27674292785095145</v>
      </c>
    </row>
    <row r="32" spans="1:22" x14ac:dyDescent="0.25">
      <c r="A32" s="23">
        <v>100</v>
      </c>
      <c r="B32" s="10">
        <f t="shared" si="0"/>
        <v>5.700789749167579</v>
      </c>
      <c r="C32" s="25">
        <f t="shared" si="1"/>
        <v>5.859064130743121E-3</v>
      </c>
      <c r="D32" s="10">
        <f t="shared" si="5"/>
        <v>100</v>
      </c>
      <c r="E32" s="24">
        <f>IF(cf(gamma_c,$A32,E$7)&lt;0,0,cf(gamma_c,$A32,E$7))</f>
        <v>0</v>
      </c>
      <c r="F32" s="24">
        <f>IF(cf(gamma_c,$A32,F$7)&lt;0,0,cf(gamma_c,$A32,F$7))</f>
        <v>0</v>
      </c>
      <c r="G32" s="24">
        <f>IF(cf(gamma_c,$A32,G$7)&lt;0,0,cf(gamma_c,$A32,G$7))</f>
        <v>0</v>
      </c>
      <c r="H32" s="24">
        <f>IF(cf(gamma_c,$A32,H$7)&lt;0,0,cf(gamma_c,$A32,H$7))</f>
        <v>0</v>
      </c>
      <c r="I32" s="24">
        <f>IF(cf(gamma_c,$A32,I$7)&lt;0,0,cf(gamma_c,$A32,I$7))</f>
        <v>0.51242304594959909</v>
      </c>
      <c r="J32" s="24">
        <f>IF(cf(gamma_c,$A32,J$7)&lt;0,0,cf(gamma_c,$A32,J$7))</f>
        <v>1.1790897126162658</v>
      </c>
      <c r="K32" s="24">
        <f>IF(cf(gamma_c,$A32,K$7)&lt;0,0,cf(gamma_c,$A32,K$7))</f>
        <v>1.6457563792829324</v>
      </c>
      <c r="L32" s="24">
        <f>IF(cf(gamma_c,$A32,L$7)&lt;0,0,cf(gamma_c,$A32,L$7))</f>
        <v>1.7457563792829325</v>
      </c>
      <c r="M32" s="24">
        <f>IF(cf(gamma_c,$A32,M$7)&lt;0,0,cf(gamma_c,$A32,M$7))</f>
        <v>1.8457563692829324</v>
      </c>
      <c r="N32" s="24">
        <f t="shared" si="2"/>
        <v>1.8027555256643186</v>
      </c>
      <c r="O32" s="24">
        <f t="shared" si="6"/>
        <v>1.6923547433549051</v>
      </c>
      <c r="Q32">
        <f t="shared" si="3"/>
        <v>2325.5352297637428</v>
      </c>
      <c r="R32">
        <f t="shared" si="7"/>
        <v>775.17840992124763</v>
      </c>
      <c r="S32" cm="1">
        <f t="array" ref="S32">cf(gamma_c,A32,R32)</f>
        <v>1.7167538184270912</v>
      </c>
      <c r="T32">
        <f t="shared" si="4"/>
        <v>2.7406300168662322E-2</v>
      </c>
      <c r="U32">
        <f t="shared" si="8"/>
        <v>63.734316559704233</v>
      </c>
      <c r="V32" cm="1">
        <f t="array" ref="V32">cf(gamma_c,A32,U32)</f>
        <v>0.27674292785095145</v>
      </c>
    </row>
    <row r="33" spans="1:22" x14ac:dyDescent="0.25">
      <c r="A33" s="23">
        <v>100</v>
      </c>
      <c r="B33" s="10">
        <f t="shared" si="0"/>
        <v>5.700789749167579</v>
      </c>
      <c r="C33" s="25">
        <f t="shared" si="1"/>
        <v>5.859064130743121E-3</v>
      </c>
      <c r="D33" s="10">
        <f t="shared" si="5"/>
        <v>100</v>
      </c>
      <c r="E33" s="24">
        <f>IF(cf(gamma_c,$A33,E$7)&lt;0,0,cf(gamma_c,$A33,E$7))</f>
        <v>0</v>
      </c>
      <c r="F33" s="24">
        <f>IF(cf(gamma_c,$A33,F$7)&lt;0,0,cf(gamma_c,$A33,F$7))</f>
        <v>0</v>
      </c>
      <c r="G33" s="24">
        <f>IF(cf(gamma_c,$A33,G$7)&lt;0,0,cf(gamma_c,$A33,G$7))</f>
        <v>0</v>
      </c>
      <c r="H33" s="24">
        <f>IF(cf(gamma_c,$A33,H$7)&lt;0,0,cf(gamma_c,$A33,H$7))</f>
        <v>0</v>
      </c>
      <c r="I33" s="24">
        <f>IF(cf(gamma_c,$A33,I$7)&lt;0,0,cf(gamma_c,$A33,I$7))</f>
        <v>0.51242304594959909</v>
      </c>
      <c r="J33" s="24">
        <f>IF(cf(gamma_c,$A33,J$7)&lt;0,0,cf(gamma_c,$A33,J$7))</f>
        <v>1.1790897126162658</v>
      </c>
      <c r="K33" s="24">
        <f>IF(cf(gamma_c,$A33,K$7)&lt;0,0,cf(gamma_c,$A33,K$7))</f>
        <v>1.6457563792829324</v>
      </c>
      <c r="L33" s="24">
        <f>IF(cf(gamma_c,$A33,L$7)&lt;0,0,cf(gamma_c,$A33,L$7))</f>
        <v>1.7457563792829325</v>
      </c>
      <c r="M33" s="24">
        <f>IF(cf(gamma_c,$A33,M$7)&lt;0,0,cf(gamma_c,$A33,M$7))</f>
        <v>1.8457563692829324</v>
      </c>
      <c r="N33" s="24">
        <f t="shared" si="2"/>
        <v>1.8027555256643186</v>
      </c>
      <c r="O33" s="24">
        <f t="shared" si="6"/>
        <v>1.6923547433549051</v>
      </c>
      <c r="Q33">
        <f t="shared" si="3"/>
        <v>2325.5352297637428</v>
      </c>
      <c r="R33">
        <f t="shared" si="7"/>
        <v>775.17840992124763</v>
      </c>
      <c r="S33" cm="1">
        <f t="array" ref="S33">cf(gamma_c,A33,R33)</f>
        <v>1.7167538184270912</v>
      </c>
      <c r="T33">
        <f t="shared" si="4"/>
        <v>2.7406300168662322E-2</v>
      </c>
      <c r="U33">
        <f t="shared" si="8"/>
        <v>63.734316559704233</v>
      </c>
      <c r="V33" cm="1">
        <f t="array" ref="V33">cf(gamma_c,A33,U33)</f>
        <v>0.27674292785095145</v>
      </c>
    </row>
    <row r="34" spans="1:22" x14ac:dyDescent="0.25">
      <c r="A34" s="23">
        <v>100</v>
      </c>
      <c r="B34" s="10">
        <f t="shared" si="0"/>
        <v>5.700789749167579</v>
      </c>
      <c r="C34" s="25">
        <f t="shared" si="1"/>
        <v>5.859064130743121E-3</v>
      </c>
      <c r="D34" s="10">
        <f t="shared" si="5"/>
        <v>100</v>
      </c>
      <c r="E34" s="24">
        <f>IF(cf(gamma_c,$A34,E$7)&lt;0,0,cf(gamma_c,$A34,E$7))</f>
        <v>0</v>
      </c>
      <c r="F34" s="24">
        <f>IF(cf(gamma_c,$A34,F$7)&lt;0,0,cf(gamma_c,$A34,F$7))</f>
        <v>0</v>
      </c>
      <c r="G34" s="24">
        <f>IF(cf(gamma_c,$A34,G$7)&lt;0,0,cf(gamma_c,$A34,G$7))</f>
        <v>0</v>
      </c>
      <c r="H34" s="24">
        <f>IF(cf(gamma_c,$A34,H$7)&lt;0,0,cf(gamma_c,$A34,H$7))</f>
        <v>0</v>
      </c>
      <c r="I34" s="24">
        <f>IF(cf(gamma_c,$A34,I$7)&lt;0,0,cf(gamma_c,$A34,I$7))</f>
        <v>0.51242304594959909</v>
      </c>
      <c r="J34" s="24">
        <f>IF(cf(gamma_c,$A34,J$7)&lt;0,0,cf(gamma_c,$A34,J$7))</f>
        <v>1.1790897126162658</v>
      </c>
      <c r="K34" s="24">
        <f>IF(cf(gamma_c,$A34,K$7)&lt;0,0,cf(gamma_c,$A34,K$7))</f>
        <v>1.6457563792829324</v>
      </c>
      <c r="L34" s="24">
        <f>IF(cf(gamma_c,$A34,L$7)&lt;0,0,cf(gamma_c,$A34,L$7))</f>
        <v>1.7457563792829325</v>
      </c>
      <c r="M34" s="24">
        <f>IF(cf(gamma_c,$A34,M$7)&lt;0,0,cf(gamma_c,$A34,M$7))</f>
        <v>1.8457563692829324</v>
      </c>
      <c r="N34" s="24">
        <f t="shared" si="2"/>
        <v>1.8027555256643186</v>
      </c>
      <c r="O34" s="24">
        <f t="shared" si="6"/>
        <v>1.6923547433549051</v>
      </c>
      <c r="Q34">
        <f t="shared" si="3"/>
        <v>2325.5352297637428</v>
      </c>
      <c r="R34">
        <f t="shared" si="7"/>
        <v>775.17840992124763</v>
      </c>
      <c r="S34" cm="1">
        <f t="array" ref="S34">cf(gamma_c,A34,R34)</f>
        <v>1.7167538184270912</v>
      </c>
      <c r="T34">
        <f t="shared" si="4"/>
        <v>2.7406300168662322E-2</v>
      </c>
      <c r="U34">
        <f t="shared" si="8"/>
        <v>63.734316559704233</v>
      </c>
      <c r="V34" cm="1">
        <f t="array" ref="V34">cf(gamma_c,A34,U34)</f>
        <v>0.27674292785095145</v>
      </c>
    </row>
    <row r="35" spans="1:22" x14ac:dyDescent="0.25">
      <c r="A35" s="23">
        <v>100</v>
      </c>
      <c r="B35" s="10">
        <f t="shared" si="0"/>
        <v>5.700789749167579</v>
      </c>
      <c r="C35" s="25">
        <f t="shared" si="1"/>
        <v>5.859064130743121E-3</v>
      </c>
      <c r="D35" s="10">
        <f t="shared" si="5"/>
        <v>100</v>
      </c>
      <c r="E35" s="24">
        <f>IF(cf(gamma_c,$A35,E$7)&lt;0,0,cf(gamma_c,$A35,E$7))</f>
        <v>0</v>
      </c>
      <c r="F35" s="24">
        <f>IF(cf(gamma_c,$A35,F$7)&lt;0,0,cf(gamma_c,$A35,F$7))</f>
        <v>0</v>
      </c>
      <c r="G35" s="24">
        <f>IF(cf(gamma_c,$A35,G$7)&lt;0,0,cf(gamma_c,$A35,G$7))</f>
        <v>0</v>
      </c>
      <c r="H35" s="24">
        <f>IF(cf(gamma_c,$A35,H$7)&lt;0,0,cf(gamma_c,$A35,H$7))</f>
        <v>0</v>
      </c>
      <c r="I35" s="24">
        <f>IF(cf(gamma_c,$A35,I$7)&lt;0,0,cf(gamma_c,$A35,I$7))</f>
        <v>0.51242304594959909</v>
      </c>
      <c r="J35" s="24">
        <f>IF(cf(gamma_c,$A35,J$7)&lt;0,0,cf(gamma_c,$A35,J$7))</f>
        <v>1.1790897126162658</v>
      </c>
      <c r="K35" s="24">
        <f>IF(cf(gamma_c,$A35,K$7)&lt;0,0,cf(gamma_c,$A35,K$7))</f>
        <v>1.6457563792829324</v>
      </c>
      <c r="L35" s="24">
        <f>IF(cf(gamma_c,$A35,L$7)&lt;0,0,cf(gamma_c,$A35,L$7))</f>
        <v>1.7457563792829325</v>
      </c>
      <c r="M35" s="24">
        <f>IF(cf(gamma_c,$A35,M$7)&lt;0,0,cf(gamma_c,$A35,M$7))</f>
        <v>1.8457563692829324</v>
      </c>
      <c r="N35" s="24">
        <f t="shared" si="2"/>
        <v>1.8027555256643186</v>
      </c>
      <c r="O35" s="24">
        <f t="shared" si="6"/>
        <v>1.6923547433549051</v>
      </c>
      <c r="Q35">
        <f t="shared" si="3"/>
        <v>2325.5352297637428</v>
      </c>
      <c r="R35">
        <f t="shared" si="7"/>
        <v>775.17840992124763</v>
      </c>
      <c r="S35" cm="1">
        <f t="array" ref="S35">cf(gamma_c,A35,R35)</f>
        <v>1.7167538184270912</v>
      </c>
      <c r="T35">
        <f t="shared" si="4"/>
        <v>2.7406300168662322E-2</v>
      </c>
      <c r="U35">
        <f t="shared" si="8"/>
        <v>63.734316559704233</v>
      </c>
      <c r="V35" cm="1">
        <f t="array" ref="V35">cf(gamma_c,A35,U35)</f>
        <v>0.27674292785095145</v>
      </c>
    </row>
    <row r="36" spans="1:22" x14ac:dyDescent="0.25">
      <c r="A36" s="23">
        <v>100</v>
      </c>
      <c r="B36" s="10">
        <f t="shared" si="0"/>
        <v>5.700789749167579</v>
      </c>
      <c r="C36" s="25">
        <f t="shared" si="1"/>
        <v>5.859064130743121E-3</v>
      </c>
      <c r="D36" s="10">
        <f t="shared" si="5"/>
        <v>100</v>
      </c>
      <c r="E36" s="24">
        <f>IF(cf(gamma_c,$A36,E$7)&lt;0,0,cf(gamma_c,$A36,E$7))</f>
        <v>0</v>
      </c>
      <c r="F36" s="24">
        <f>IF(cf(gamma_c,$A36,F$7)&lt;0,0,cf(gamma_c,$A36,F$7))</f>
        <v>0</v>
      </c>
      <c r="G36" s="24">
        <f>IF(cf(gamma_c,$A36,G$7)&lt;0,0,cf(gamma_c,$A36,G$7))</f>
        <v>0</v>
      </c>
      <c r="H36" s="24">
        <f>IF(cf(gamma_c,$A36,H$7)&lt;0,0,cf(gamma_c,$A36,H$7))</f>
        <v>0</v>
      </c>
      <c r="I36" s="24">
        <f>IF(cf(gamma_c,$A36,I$7)&lt;0,0,cf(gamma_c,$A36,I$7))</f>
        <v>0.51242304594959909</v>
      </c>
      <c r="J36" s="24">
        <f>IF(cf(gamma_c,$A36,J$7)&lt;0,0,cf(gamma_c,$A36,J$7))</f>
        <v>1.1790897126162658</v>
      </c>
      <c r="K36" s="24">
        <f>IF(cf(gamma_c,$A36,K$7)&lt;0,0,cf(gamma_c,$A36,K$7))</f>
        <v>1.6457563792829324</v>
      </c>
      <c r="L36" s="24">
        <f>IF(cf(gamma_c,$A36,L$7)&lt;0,0,cf(gamma_c,$A36,L$7))</f>
        <v>1.7457563792829325</v>
      </c>
      <c r="M36" s="24">
        <f>IF(cf(gamma_c,$A36,M$7)&lt;0,0,cf(gamma_c,$A36,M$7))</f>
        <v>1.8457563692829324</v>
      </c>
      <c r="N36" s="24">
        <f t="shared" si="2"/>
        <v>1.8027555256643186</v>
      </c>
      <c r="O36" s="24">
        <f t="shared" si="6"/>
        <v>1.6923547433549051</v>
      </c>
      <c r="Q36">
        <f t="shared" si="3"/>
        <v>2325.5352297637428</v>
      </c>
      <c r="R36">
        <f t="shared" si="7"/>
        <v>775.17840992124763</v>
      </c>
      <c r="S36" cm="1">
        <f t="array" ref="S36">cf(gamma_c,A36,R36)</f>
        <v>1.7167538184270912</v>
      </c>
      <c r="T36">
        <f t="shared" si="4"/>
        <v>2.7406300168662322E-2</v>
      </c>
      <c r="U36">
        <f t="shared" si="8"/>
        <v>63.734316559704233</v>
      </c>
      <c r="V36" cm="1">
        <f t="array" ref="V36">cf(gamma_c,A36,U36)</f>
        <v>0.27674292785095145</v>
      </c>
    </row>
    <row r="37" spans="1:22" x14ac:dyDescent="0.25">
      <c r="A37" s="23">
        <v>100</v>
      </c>
      <c r="B37" s="10">
        <f t="shared" si="0"/>
        <v>5.700789749167579</v>
      </c>
      <c r="C37" s="25">
        <f t="shared" si="1"/>
        <v>5.859064130743121E-3</v>
      </c>
      <c r="D37" s="10">
        <f t="shared" si="5"/>
        <v>100</v>
      </c>
      <c r="E37" s="24">
        <f>IF(cf(gamma_c,$A37,E$7)&lt;0,0,cf(gamma_c,$A37,E$7))</f>
        <v>0</v>
      </c>
      <c r="F37" s="24">
        <f>IF(cf(gamma_c,$A37,F$7)&lt;0,0,cf(gamma_c,$A37,F$7))</f>
        <v>0</v>
      </c>
      <c r="G37" s="24">
        <f>IF(cf(gamma_c,$A37,G$7)&lt;0,0,cf(gamma_c,$A37,G$7))</f>
        <v>0</v>
      </c>
      <c r="H37" s="24">
        <f>IF(cf(gamma_c,$A37,H$7)&lt;0,0,cf(gamma_c,$A37,H$7))</f>
        <v>0</v>
      </c>
      <c r="I37" s="24">
        <f>IF(cf(gamma_c,$A37,I$7)&lt;0,0,cf(gamma_c,$A37,I$7))</f>
        <v>0.51242304594959909</v>
      </c>
      <c r="J37" s="24">
        <f>IF(cf(gamma_c,$A37,J$7)&lt;0,0,cf(gamma_c,$A37,J$7))</f>
        <v>1.1790897126162658</v>
      </c>
      <c r="K37" s="24">
        <f>IF(cf(gamma_c,$A37,K$7)&lt;0,0,cf(gamma_c,$A37,K$7))</f>
        <v>1.6457563792829324</v>
      </c>
      <c r="L37" s="24">
        <f>IF(cf(gamma_c,$A37,L$7)&lt;0,0,cf(gamma_c,$A37,L$7))</f>
        <v>1.7457563792829325</v>
      </c>
      <c r="M37" s="24">
        <f>IF(cf(gamma_c,$A37,M$7)&lt;0,0,cf(gamma_c,$A37,M$7))</f>
        <v>1.8457563692829324</v>
      </c>
      <c r="N37" s="24">
        <f t="shared" si="2"/>
        <v>1.8027555256643186</v>
      </c>
      <c r="O37" s="24">
        <f t="shared" si="6"/>
        <v>1.6923547433549051</v>
      </c>
      <c r="Q37">
        <f t="shared" si="3"/>
        <v>2325.5352297637428</v>
      </c>
      <c r="R37">
        <f t="shared" si="7"/>
        <v>775.17840992124763</v>
      </c>
      <c r="S37" cm="1">
        <f t="array" ref="S37">cf(gamma_c,A37,R37)</f>
        <v>1.7167538184270912</v>
      </c>
      <c r="T37">
        <f t="shared" si="4"/>
        <v>2.7406300168662322E-2</v>
      </c>
      <c r="U37">
        <f t="shared" si="8"/>
        <v>63.734316559704233</v>
      </c>
      <c r="V37" cm="1">
        <f t="array" ref="V37">cf(gamma_c,A37,U37)</f>
        <v>0.27674292785095145</v>
      </c>
    </row>
  </sheetData>
  <mergeCells count="6">
    <mergeCell ref="T7:V7"/>
    <mergeCell ref="A1:J1"/>
    <mergeCell ref="A2:J2"/>
    <mergeCell ref="A3:J3"/>
    <mergeCell ref="A4:E4"/>
    <mergeCell ref="R7:S7"/>
  </mergeCells>
  <conditionalFormatting sqref="C9:C37">
    <cfRule type="cellIs" dxfId="0" priority="1" operator="greaterThan">
      <formula>1</formula>
    </cfRule>
  </conditionalFormatting>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Setup</vt:lpstr>
      <vt:lpstr>CF_Plot</vt:lpstr>
      <vt:lpstr>Bob_58</vt:lpstr>
      <vt:lpstr>gamma_c</vt:lpstr>
      <vt:lpstr>M_G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Frederick</dc:creator>
  <cp:lastModifiedBy>Veronica</cp:lastModifiedBy>
  <dcterms:created xsi:type="dcterms:W3CDTF">2021-09-21T17:46:43Z</dcterms:created>
  <dcterms:modified xsi:type="dcterms:W3CDTF">2023-03-31T00:01:43Z</dcterms:modified>
</cp:coreProperties>
</file>